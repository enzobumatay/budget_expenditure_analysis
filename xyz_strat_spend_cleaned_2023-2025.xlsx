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DataCamp\sample projects\Procurement Spend Analysis\"/>
    </mc:Choice>
  </mc:AlternateContent>
  <xr:revisionPtr revIDLastSave="0" documentId="13_ncr:1_{4DBC20D0-25C7-48D2-96CE-8653BC6212DE}" xr6:coauthVersionLast="47" xr6:coauthVersionMax="47" xr10:uidLastSave="{00000000-0000-0000-0000-000000000000}"/>
  <bookViews>
    <workbookView xWindow="-23148" yWindow="-828" windowWidth="23256" windowHeight="12456" activeTab="2" xr2:uid="{00000000-000D-0000-FFFF-FFFF00000000}"/>
  </bookViews>
  <sheets>
    <sheet name="ERP_Cleaned" sheetId="1" r:id="rId1"/>
    <sheet name="Dim_Budgets" sheetId="2" r:id="rId2"/>
    <sheet name="Sheet1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D15" i="3"/>
  <c r="D9" i="3"/>
  <c r="D3" i="3"/>
  <c r="P5" i="3"/>
  <c r="P6" i="3"/>
  <c r="P7" i="3"/>
  <c r="P8" i="3"/>
  <c r="P4" i="3"/>
  <c r="M8" i="3"/>
  <c r="M5" i="3"/>
  <c r="M6" i="3"/>
  <c r="M7" i="3"/>
  <c r="M4" i="3"/>
  <c r="L8" i="3"/>
  <c r="N8" i="3" s="1"/>
  <c r="C21" i="3"/>
  <c r="E20" i="3"/>
  <c r="E14" i="3"/>
  <c r="E8" i="3"/>
  <c r="D17" i="3"/>
  <c r="E17" i="3" s="1"/>
  <c r="D18" i="3"/>
  <c r="E18" i="3" s="1"/>
  <c r="D19" i="3"/>
  <c r="E19" i="3" s="1"/>
  <c r="D16" i="3"/>
  <c r="E16" i="3" s="1"/>
  <c r="D11" i="3"/>
  <c r="E11" i="3" s="1"/>
  <c r="D12" i="3"/>
  <c r="E12" i="3" s="1"/>
  <c r="D13" i="3"/>
  <c r="E13" i="3" s="1"/>
  <c r="D10" i="3"/>
  <c r="E10" i="3" s="1"/>
  <c r="D5" i="3"/>
  <c r="E5" i="3" s="1"/>
  <c r="D6" i="3"/>
  <c r="E6" i="3" s="1"/>
  <c r="D7" i="3"/>
  <c r="E7" i="3" s="1"/>
  <c r="D4" i="3"/>
  <c r="E4" i="3" s="1"/>
  <c r="H7" i="3"/>
  <c r="Q8" i="3" l="1"/>
  <c r="O8" i="3"/>
  <c r="L7" i="3"/>
  <c r="N7" i="3" s="1"/>
  <c r="O7" i="3" s="1"/>
  <c r="L6" i="3"/>
  <c r="N6" i="3" s="1"/>
  <c r="O6" i="3" s="1"/>
  <c r="L5" i="3"/>
  <c r="N5" i="3" s="1"/>
  <c r="O5" i="3" s="1"/>
  <c r="H4" i="3"/>
  <c r="H5" i="3"/>
  <c r="L4" i="3"/>
  <c r="N4" i="3" s="1"/>
  <c r="O4" i="3" s="1"/>
  <c r="E21" i="3"/>
  <c r="I5" i="3" l="1"/>
  <c r="Q6" i="3"/>
  <c r="Q5" i="3"/>
  <c r="Q7" i="3"/>
  <c r="Q4" i="3"/>
  <c r="H6" i="3"/>
  <c r="I4" i="3"/>
</calcChain>
</file>

<file path=xl/sharedStrings.xml><?xml version="1.0" encoding="utf-8"?>
<sst xmlns="http://schemas.openxmlformats.org/spreadsheetml/2006/main" count="5510" uniqueCount="1174">
  <si>
    <t>RAW_PO_NUMBER</t>
  </si>
  <si>
    <t>TRANSACTION_DATE</t>
  </si>
  <si>
    <t>DEPARTMENT_NAME</t>
  </si>
  <si>
    <t>EXPENSE_CATEGORY</t>
  </si>
  <si>
    <t>VENDOR_NAME</t>
  </si>
  <si>
    <t>RAW_AMOUNT</t>
  </si>
  <si>
    <t>GL_CODE</t>
  </si>
  <si>
    <t>TAX_RATE</t>
  </si>
  <si>
    <t>APPROVAL_STATUS</t>
  </si>
  <si>
    <t>INVOICE_REF</t>
  </si>
  <si>
    <t>SYSTEM_COMMENTS</t>
  </si>
  <si>
    <t>PO-2024-2002</t>
  </si>
  <si>
    <t>Facilities &amp; Ops</t>
  </si>
  <si>
    <t>Travel &amp; Entertainment</t>
  </si>
  <si>
    <t>Prime Space Realty</t>
  </si>
  <si>
    <t>GL-500100</t>
  </si>
  <si>
    <t>12%</t>
  </si>
  <si>
    <t>APPROVED</t>
  </si>
  <si>
    <t>System Auto-Generated</t>
  </si>
  <si>
    <t>PO-2024-2006</t>
  </si>
  <si>
    <t>IT Operations</t>
  </si>
  <si>
    <t>Office Supplies</t>
  </si>
  <si>
    <t>CloudSaaS Corp</t>
  </si>
  <si>
    <t>INV-5166</t>
  </si>
  <si>
    <t>PO-2024-2008</t>
  </si>
  <si>
    <t>Marketing &amp; Sales</t>
  </si>
  <si>
    <t>Digital Advertising</t>
  </si>
  <si>
    <t>PaperCorp Supplies</t>
  </si>
  <si>
    <t>GL-500200</t>
  </si>
  <si>
    <t>INV-8892</t>
  </si>
  <si>
    <t xml:space="preserve">   Urgent operational requirement!   </t>
  </si>
  <si>
    <t>PO-2024-2016</t>
  </si>
  <si>
    <t>INV-8900</t>
  </si>
  <si>
    <t>PO-2024-2017</t>
  </si>
  <si>
    <t>0%</t>
  </si>
  <si>
    <t>INV-5544</t>
  </si>
  <si>
    <t>PO-2024-2018</t>
  </si>
  <si>
    <t>Office Rent</t>
  </si>
  <si>
    <t>GL-600300</t>
  </si>
  <si>
    <t>INV-7194</t>
  </si>
  <si>
    <t xml:space="preserve">   </t>
  </si>
  <si>
    <t>GlobalMedia Ads</t>
  </si>
  <si>
    <t>INV-8603</t>
  </si>
  <si>
    <t>PO-2024-2023</t>
  </si>
  <si>
    <t>TechDistributors Inc</t>
  </si>
  <si>
    <t>PO-2024-2026</t>
  </si>
  <si>
    <t>Cloud Infrastructure</t>
  </si>
  <si>
    <t>INV-9582</t>
  </si>
  <si>
    <t>PO-2024-2027</t>
  </si>
  <si>
    <t>INV-9956</t>
  </si>
  <si>
    <t>PO-2024-2030</t>
  </si>
  <si>
    <t>INV-9601</t>
  </si>
  <si>
    <t>PO-2024-2035</t>
  </si>
  <si>
    <t>CloudSaaS Corporation</t>
  </si>
  <si>
    <t>PO-2024-2040</t>
  </si>
  <si>
    <t>INV-7969</t>
  </si>
  <si>
    <t>PO-2024-2044</t>
  </si>
  <si>
    <t>INV-5045</t>
  </si>
  <si>
    <t>PO-2024-2050</t>
  </si>
  <si>
    <t>Unassigned</t>
  </si>
  <si>
    <t>Hardware Procurement</t>
  </si>
  <si>
    <t>PO-2024-2055</t>
  </si>
  <si>
    <t>INV-8325</t>
  </si>
  <si>
    <t>PO-2024-2056</t>
  </si>
  <si>
    <t>Software Licenses</t>
  </si>
  <si>
    <t>INV-5036</t>
  </si>
  <si>
    <t>PO-2024-2058</t>
  </si>
  <si>
    <t>INV-8693</t>
  </si>
  <si>
    <t>PO-2024-2060</t>
  </si>
  <si>
    <t>INV-8446</t>
  </si>
  <si>
    <t>PO-2024-2061</t>
  </si>
  <si>
    <t>INV-9772</t>
  </si>
  <si>
    <t>PO-2024-2062</t>
  </si>
  <si>
    <t>HR &amp; Admin</t>
  </si>
  <si>
    <t>INV-5398</t>
  </si>
  <si>
    <t>PO-2024-2064</t>
  </si>
  <si>
    <t>INV-9562</t>
  </si>
  <si>
    <t>PO-2024-2067</t>
  </si>
  <si>
    <t>INV-6672</t>
  </si>
  <si>
    <t>PO-2024-2068</t>
  </si>
  <si>
    <t>INV-4659</t>
  </si>
  <si>
    <t>PO-2024-2070</t>
  </si>
  <si>
    <t>INV-4582</t>
  </si>
  <si>
    <t>PO-2024-2071</t>
  </si>
  <si>
    <t>INV-9656</t>
  </si>
  <si>
    <t>PO-2024-2072</t>
  </si>
  <si>
    <t>INV-8819</t>
  </si>
  <si>
    <t>PO-2024-2073</t>
  </si>
  <si>
    <t>INV-6413</t>
  </si>
  <si>
    <t>PO-2024-2074</t>
  </si>
  <si>
    <t>INV-7018</t>
  </si>
  <si>
    <t>PO-2024-2076</t>
  </si>
  <si>
    <t>PO-2024-2077</t>
  </si>
  <si>
    <t>INV-5556</t>
  </si>
  <si>
    <t>PO-2024-2078</t>
  </si>
  <si>
    <t>INV-7861</t>
  </si>
  <si>
    <t>PO-2024-2079</t>
  </si>
  <si>
    <t>PO-2024-2080</t>
  </si>
  <si>
    <t>INV-5405</t>
  </si>
  <si>
    <t>PO-2024-2084</t>
  </si>
  <si>
    <t>INV-4233</t>
  </si>
  <si>
    <t>PO-2024-2085</t>
  </si>
  <si>
    <t>INV-9424</t>
  </si>
  <si>
    <t>PO-2024-2087</t>
  </si>
  <si>
    <t>INV-7594</t>
  </si>
  <si>
    <t>PO-2024-2088</t>
  </si>
  <si>
    <t>INV-5675</t>
  </si>
  <si>
    <t>PO-2024-2089</t>
  </si>
  <si>
    <t>INV-5052</t>
  </si>
  <si>
    <t>PO-2024-2095</t>
  </si>
  <si>
    <t>INV-4831</t>
  </si>
  <si>
    <t>PO-2024-2096</t>
  </si>
  <si>
    <t>INV-4028</t>
  </si>
  <si>
    <t>PO-2024-2097</t>
  </si>
  <si>
    <t>INV-8542</t>
  </si>
  <si>
    <t>PO-2024-2099</t>
  </si>
  <si>
    <t>PO-2024-2100</t>
  </si>
  <si>
    <t>INV-5383</t>
  </si>
  <si>
    <t>INV-7362</t>
  </si>
  <si>
    <t>PO-2024-2104</t>
  </si>
  <si>
    <t>INV-8873</t>
  </si>
  <si>
    <t>PO-2024-2106</t>
  </si>
  <si>
    <t>INV-6873</t>
  </si>
  <si>
    <t>PO-2024-2108</t>
  </si>
  <si>
    <t>PO-2024-2109</t>
  </si>
  <si>
    <t>PO-2024-2111</t>
  </si>
  <si>
    <t>INV-9239</t>
  </si>
  <si>
    <t>PO-2024-2113</t>
  </si>
  <si>
    <t>INV-9650</t>
  </si>
  <si>
    <t>PO-2024-2114</t>
  </si>
  <si>
    <t>INV-6264</t>
  </si>
  <si>
    <t>PO-2024-2115</t>
  </si>
  <si>
    <t>INV-6848</t>
  </si>
  <si>
    <t>PO-2024-2118</t>
  </si>
  <si>
    <t>INV-9846</t>
  </si>
  <si>
    <t>PO-2024-2119</t>
  </si>
  <si>
    <t>INV-4387</t>
  </si>
  <si>
    <t>PO-2024-2120</t>
  </si>
  <si>
    <t>INV-4227</t>
  </si>
  <si>
    <t>PO-2024-2121</t>
  </si>
  <si>
    <t>Paper Corp</t>
  </si>
  <si>
    <t>INV-8717</t>
  </si>
  <si>
    <t>PO-2024-2122</t>
  </si>
  <si>
    <t>INV-9193</t>
  </si>
  <si>
    <t>PO-2024-2123</t>
  </si>
  <si>
    <t>PO-2024-2125</t>
  </si>
  <si>
    <t>INV-6470</t>
  </si>
  <si>
    <t>PO-2024-2129</t>
  </si>
  <si>
    <t>INV-8186</t>
  </si>
  <si>
    <t>PO-2024-2130</t>
  </si>
  <si>
    <t>INV-6667</t>
  </si>
  <si>
    <t>PO-2024-2131</t>
  </si>
  <si>
    <t>INV-7940</t>
  </si>
  <si>
    <t>PO-2024-2133</t>
  </si>
  <si>
    <t>PO-2024-2134</t>
  </si>
  <si>
    <t>PO-2024-2135</t>
  </si>
  <si>
    <t>Tech Distributors</t>
  </si>
  <si>
    <t>INV-7911</t>
  </si>
  <si>
    <t>PO-2024-2136</t>
  </si>
  <si>
    <t>INV-5952</t>
  </si>
  <si>
    <t>PO-2024-2137</t>
  </si>
  <si>
    <t>PO-2024-2139</t>
  </si>
  <si>
    <t>INV-7680</t>
  </si>
  <si>
    <t>PO-2024-2140</t>
  </si>
  <si>
    <t>INV-4553</t>
  </si>
  <si>
    <t>PO-2024-2141</t>
  </si>
  <si>
    <t>INV-8571</t>
  </si>
  <si>
    <t>PO-2024-2142</t>
  </si>
  <si>
    <t>INV-6791</t>
  </si>
  <si>
    <t>PO-2024-2143</t>
  </si>
  <si>
    <t>INV-8245</t>
  </si>
  <si>
    <t>PO-2024-2146</t>
  </si>
  <si>
    <t>INV-7305</t>
  </si>
  <si>
    <t>PO-2024-2148</t>
  </si>
  <si>
    <t>INV-8390</t>
  </si>
  <si>
    <t>PO-2024-2150</t>
  </si>
  <si>
    <t>INV-7299</t>
  </si>
  <si>
    <t>PO-2024-2151</t>
  </si>
  <si>
    <t>INV-8453</t>
  </si>
  <si>
    <t>PO-2024-2153</t>
  </si>
  <si>
    <t>INV-7887</t>
  </si>
  <si>
    <t>PO-2024-2155</t>
  </si>
  <si>
    <t>INV-4205</t>
  </si>
  <si>
    <t>PO-2024-2156</t>
  </si>
  <si>
    <t>INV-5123</t>
  </si>
  <si>
    <t>PO-2024-2157</t>
  </si>
  <si>
    <t>INV-5754</t>
  </si>
  <si>
    <t>PO-2024-2158</t>
  </si>
  <si>
    <t>INV-5433</t>
  </si>
  <si>
    <t>PO-2024-2160</t>
  </si>
  <si>
    <t>INV-7526</t>
  </si>
  <si>
    <t>PO-2024-2162</t>
  </si>
  <si>
    <t>INV-6331</t>
  </si>
  <si>
    <t>PO-2024-2163</t>
  </si>
  <si>
    <t>INV-9513</t>
  </si>
  <si>
    <t>PO-2024-2165</t>
  </si>
  <si>
    <t>INV-9553</t>
  </si>
  <si>
    <t>PO-2024-2167</t>
  </si>
  <si>
    <t>INV-7616</t>
  </si>
  <si>
    <t>PO-2024-2169</t>
  </si>
  <si>
    <t>INV-9051</t>
  </si>
  <si>
    <t>PO-2024-2173</t>
  </si>
  <si>
    <t>INV-4596</t>
  </si>
  <si>
    <t>PO-2024-2174</t>
  </si>
  <si>
    <t>PO-2024-2175</t>
  </si>
  <si>
    <t>INV-9228</t>
  </si>
  <si>
    <t>PO-2024-2177</t>
  </si>
  <si>
    <t>INV-6119</t>
  </si>
  <si>
    <t>PO-2024-2180</t>
  </si>
  <si>
    <t>INV-7803</t>
  </si>
  <si>
    <t>PO-2024-2181</t>
  </si>
  <si>
    <t>INV-6763</t>
  </si>
  <si>
    <t>PO-2024-2183</t>
  </si>
  <si>
    <t>INV-5345</t>
  </si>
  <si>
    <t>PO-2024-2186</t>
  </si>
  <si>
    <t>INV-8967</t>
  </si>
  <si>
    <t>PO-2024-2187</t>
  </si>
  <si>
    <t>INV-6230</t>
  </si>
  <si>
    <t>PO-2024-2189</t>
  </si>
  <si>
    <t>INV-6016</t>
  </si>
  <si>
    <t>PO-2024-2194</t>
  </si>
  <si>
    <t>INV-4104</t>
  </si>
  <si>
    <t>PO-2024-2195</t>
  </si>
  <si>
    <t>INV-9122</t>
  </si>
  <si>
    <t>PO-2024-2200</t>
  </si>
  <si>
    <t>INV-5128</t>
  </si>
  <si>
    <t>PO-2024-2202</t>
  </si>
  <si>
    <t>INV-8348</t>
  </si>
  <si>
    <t>PO-2024-2207</t>
  </si>
  <si>
    <t>INV-5693</t>
  </si>
  <si>
    <t>PO-2024-2209</t>
  </si>
  <si>
    <t>INV-6441</t>
  </si>
  <si>
    <t>PO-2024-2211</t>
  </si>
  <si>
    <t>INV-4397</t>
  </si>
  <si>
    <t>PO-2024-2212</t>
  </si>
  <si>
    <t>PO-2024-2213</t>
  </si>
  <si>
    <t>INV-6988</t>
  </si>
  <si>
    <t>PO-2024-2214</t>
  </si>
  <si>
    <t>INV-5222</t>
  </si>
  <si>
    <t>PO-2024-2215</t>
  </si>
  <si>
    <t>INV-4003</t>
  </si>
  <si>
    <t>PO-2024-2216</t>
  </si>
  <si>
    <t>INV-7614</t>
  </si>
  <si>
    <t>PO-2024-2218</t>
  </si>
  <si>
    <t>INV-8424</t>
  </si>
  <si>
    <t>PO-2024-2220</t>
  </si>
  <si>
    <t>PO-2024-2221</t>
  </si>
  <si>
    <t>INV-9661</t>
  </si>
  <si>
    <t>PO-2024-2222</t>
  </si>
  <si>
    <t>INV-7656</t>
  </si>
  <si>
    <t>PO-2024-2223</t>
  </si>
  <si>
    <t>INV-4091</t>
  </si>
  <si>
    <t>PO-2024-2224</t>
  </si>
  <si>
    <t>INV-4839</t>
  </si>
  <si>
    <t>INV-4239</t>
  </si>
  <si>
    <t>PO-2024-2229</t>
  </si>
  <si>
    <t>INV-5027</t>
  </si>
  <si>
    <t>PO-2024-2231</t>
  </si>
  <si>
    <t>INV-6319</t>
  </si>
  <si>
    <t>PO-2024-2233</t>
  </si>
  <si>
    <t>PO-2024-2236</t>
  </si>
  <si>
    <t>INV-5054</t>
  </si>
  <si>
    <t>PO-2024-2237</t>
  </si>
  <si>
    <t>INV-7428</t>
  </si>
  <si>
    <t>PO-2024-2239</t>
  </si>
  <si>
    <t>INV-7856</t>
  </si>
  <si>
    <t>PO-2024-2240</t>
  </si>
  <si>
    <t>INV-8515</t>
  </si>
  <si>
    <t>PO-2024-2242</t>
  </si>
  <si>
    <t>PO-2024-2243</t>
  </si>
  <si>
    <t>PO-2024-2245</t>
  </si>
  <si>
    <t>INV-9285</t>
  </si>
  <si>
    <t>INV-6147</t>
  </si>
  <si>
    <t>PO-2024-2247</t>
  </si>
  <si>
    <t>PO-2024-2248</t>
  </si>
  <si>
    <t>INV-4686</t>
  </si>
  <si>
    <t>PO-2024-2252</t>
  </si>
  <si>
    <t>INV-4258</t>
  </si>
  <si>
    <t>PO-2024-2257</t>
  </si>
  <si>
    <t>INV-4391</t>
  </si>
  <si>
    <t>PO-2024-2258</t>
  </si>
  <si>
    <t>PO-2024-2259</t>
  </si>
  <si>
    <t>INV-9272</t>
  </si>
  <si>
    <t>PO-2024-2260</t>
  </si>
  <si>
    <t>INV-6691</t>
  </si>
  <si>
    <t>PO-2024-2262</t>
  </si>
  <si>
    <t>INV-7689</t>
  </si>
  <si>
    <t>PO-2024-2265</t>
  </si>
  <si>
    <t>INV-9946</t>
  </si>
  <si>
    <t>PO-2024-2269</t>
  </si>
  <si>
    <t>PO-2024-2273</t>
  </si>
  <si>
    <t>PO-2024-2274</t>
  </si>
  <si>
    <t>INV-7925</t>
  </si>
  <si>
    <t>PO-2024-2276</t>
  </si>
  <si>
    <t>INV-7500</t>
  </si>
  <si>
    <t>PO-2024-2277</t>
  </si>
  <si>
    <t>INV-7218</t>
  </si>
  <si>
    <t>PO-2024-2279</t>
  </si>
  <si>
    <t>INV-7833</t>
  </si>
  <si>
    <t>PO-2024-2280</t>
  </si>
  <si>
    <t>PO-2024-2281</t>
  </si>
  <si>
    <t>INV-6813</t>
  </si>
  <si>
    <t>PO-2024-2283</t>
  </si>
  <si>
    <t>PO-2024-2284</t>
  </si>
  <si>
    <t>INV-5946</t>
  </si>
  <si>
    <t>PO-2024-2289</t>
  </si>
  <si>
    <t>INV-7406</t>
  </si>
  <si>
    <t>PO-2024-2291</t>
  </si>
  <si>
    <t>INV-8334</t>
  </si>
  <si>
    <t>PO-2024-2294</t>
  </si>
  <si>
    <t>INV-5321</t>
  </si>
  <si>
    <t>PO-2024-2297</t>
  </si>
  <si>
    <t>INV-9934</t>
  </si>
  <si>
    <t>PO-2024-2298</t>
  </si>
  <si>
    <t>INV-6528</t>
  </si>
  <si>
    <t>PO-2024-2301</t>
  </si>
  <si>
    <t>PO-2024-2302</t>
  </si>
  <si>
    <t>INV-6142</t>
  </si>
  <si>
    <t>PO-2024-2303</t>
  </si>
  <si>
    <t>PO-2024-2305</t>
  </si>
  <si>
    <t>INV-6024</t>
  </si>
  <si>
    <t>PO-2024-2307</t>
  </si>
  <si>
    <t>INV-6217</t>
  </si>
  <si>
    <t>PO-2024-2308</t>
  </si>
  <si>
    <t>INV-8368</t>
  </si>
  <si>
    <t>PO-2024-2310</t>
  </si>
  <si>
    <t>INV-8213</t>
  </si>
  <si>
    <t>PO-2024-2313</t>
  </si>
  <si>
    <t>INV-9099</t>
  </si>
  <si>
    <t>PO-2024-2315</t>
  </si>
  <si>
    <t>INV-8052</t>
  </si>
  <si>
    <t>PO-2024-2316</t>
  </si>
  <si>
    <t>INV-5889</t>
  </si>
  <si>
    <t>PO-2024-2324</t>
  </si>
  <si>
    <t>INV-8011</t>
  </si>
  <si>
    <t>PO-2024-2326</t>
  </si>
  <si>
    <t>INV-9991</t>
  </si>
  <si>
    <t>PO-2024-2327</t>
  </si>
  <si>
    <t>INV-6151</t>
  </si>
  <si>
    <t>PO-2024-2328</t>
  </si>
  <si>
    <t>INV-5313</t>
  </si>
  <si>
    <t>PO-2024-2329</t>
  </si>
  <si>
    <t>PO-2024-2330</t>
  </si>
  <si>
    <t>INV-5146</t>
  </si>
  <si>
    <t>PO-2024-2333</t>
  </si>
  <si>
    <t>INV-7554</t>
  </si>
  <si>
    <t>PO-2024-2336</t>
  </si>
  <si>
    <t>INV-5970</t>
  </si>
  <si>
    <t>PO-2024-2341</t>
  </si>
  <si>
    <t>INV-5974</t>
  </si>
  <si>
    <t>PO-2024-2342</t>
  </si>
  <si>
    <t>INV-7144</t>
  </si>
  <si>
    <t>PO-2024-2346</t>
  </si>
  <si>
    <t>INV-8671</t>
  </si>
  <si>
    <t>PO-2024-2347</t>
  </si>
  <si>
    <t>INV-6335</t>
  </si>
  <si>
    <t>PO-2024-2348</t>
  </si>
  <si>
    <t>INV-6143</t>
  </si>
  <si>
    <t>PO-2024-2349</t>
  </si>
  <si>
    <t>INV-4230</t>
  </si>
  <si>
    <t>PO-2024-2351</t>
  </si>
  <si>
    <t>INV-5638</t>
  </si>
  <si>
    <t>PO-2024-2352</t>
  </si>
  <si>
    <t>INV-6461</t>
  </si>
  <si>
    <t>PO-2024-2355</t>
  </si>
  <si>
    <t>INV-6568</t>
  </si>
  <si>
    <t>PO-2024-2360</t>
  </si>
  <si>
    <t>INV-9013</t>
  </si>
  <si>
    <t>PO-2024-2361</t>
  </si>
  <si>
    <t>INV-6631</t>
  </si>
  <si>
    <t>PO-2024-2362</t>
  </si>
  <si>
    <t>INV-6541</t>
  </si>
  <si>
    <t>PO-2024-2363</t>
  </si>
  <si>
    <t>INV-5382</t>
  </si>
  <si>
    <t>PO-2024-2364</t>
  </si>
  <si>
    <t>INV-7043</t>
  </si>
  <si>
    <t>PO-2024-2369</t>
  </si>
  <si>
    <t>INV-5201</t>
  </si>
  <si>
    <t>PO-2024-2371</t>
  </si>
  <si>
    <t>INV-5221</t>
  </si>
  <si>
    <t>PO-2024-2373</t>
  </si>
  <si>
    <t>INV-7071</t>
  </si>
  <si>
    <t>PO-2024-2374</t>
  </si>
  <si>
    <t>INV-6396</t>
  </si>
  <si>
    <t>PO-2024-2378</t>
  </si>
  <si>
    <t>INV-7558</t>
  </si>
  <si>
    <t>PO-2024-2383</t>
  </si>
  <si>
    <t>INV-7862</t>
  </si>
  <si>
    <t>PO-2024-2385</t>
  </si>
  <si>
    <t>INV-9472</t>
  </si>
  <si>
    <t>PO-2024-2388</t>
  </si>
  <si>
    <t>INV-7617</t>
  </si>
  <si>
    <t>PO-2024-2389</t>
  </si>
  <si>
    <t>INV-8753</t>
  </si>
  <si>
    <t>PO-2024-2390</t>
  </si>
  <si>
    <t>INV-4744</t>
  </si>
  <si>
    <t>PO-2024-2391</t>
  </si>
  <si>
    <t>INV-9278</t>
  </si>
  <si>
    <t>PO-2024-2392</t>
  </si>
  <si>
    <t>INV-6783</t>
  </si>
  <si>
    <t>PO-2024-2393</t>
  </si>
  <si>
    <t>INV-4388</t>
  </si>
  <si>
    <t>PO-2024-2395</t>
  </si>
  <si>
    <t>INV-4624</t>
  </si>
  <si>
    <t>PO-2024-2397</t>
  </si>
  <si>
    <t>INV-5621</t>
  </si>
  <si>
    <t>PO-2024-2398</t>
  </si>
  <si>
    <t>PO-2024-2399</t>
  </si>
  <si>
    <t>INV-7383</t>
  </si>
  <si>
    <t>PO-2024-2403</t>
  </si>
  <si>
    <t>INV-6700</t>
  </si>
  <si>
    <t>PO-2024-2404</t>
  </si>
  <si>
    <t>PO-2024-2406</t>
  </si>
  <si>
    <t>INV-7268</t>
  </si>
  <si>
    <t>PO-2024-2408</t>
  </si>
  <si>
    <t>INV-8614</t>
  </si>
  <si>
    <t>PO-2024-2411</t>
  </si>
  <si>
    <t>INV-7868</t>
  </si>
  <si>
    <t>PO-2024-2412</t>
  </si>
  <si>
    <t>INV-6183</t>
  </si>
  <si>
    <t>PO-2024-2414</t>
  </si>
  <si>
    <t>INV-5074</t>
  </si>
  <si>
    <t>PO-2024-2418</t>
  </si>
  <si>
    <t>INV-4160</t>
  </si>
  <si>
    <t>PO-2024-2420</t>
  </si>
  <si>
    <t>INV-4287</t>
  </si>
  <si>
    <t>PO-2024-2422</t>
  </si>
  <si>
    <t>INV-9128</t>
  </si>
  <si>
    <t>PO-2024-2423</t>
  </si>
  <si>
    <t>INV-9973</t>
  </si>
  <si>
    <t>PO-2024-2425</t>
  </si>
  <si>
    <t>INV-9586</t>
  </si>
  <si>
    <t>PO-2024-2429</t>
  </si>
  <si>
    <t>INV-5444</t>
  </si>
  <si>
    <t>PO-2024-2430</t>
  </si>
  <si>
    <t>INV-4957</t>
  </si>
  <si>
    <t>PO-2024-2434</t>
  </si>
  <si>
    <t>INV-6509</t>
  </si>
  <si>
    <t>PO-2024-2439</t>
  </si>
  <si>
    <t>INV-8778</t>
  </si>
  <si>
    <t>PO-2024-2440</t>
  </si>
  <si>
    <t>INV-6011</t>
  </si>
  <si>
    <t>PO-2024-2441</t>
  </si>
  <si>
    <t>INV-8053</t>
  </si>
  <si>
    <t>PO-2024-2446</t>
  </si>
  <si>
    <t>INV-9583</t>
  </si>
  <si>
    <t>PO-2024-2450</t>
  </si>
  <si>
    <t>PO-2024-2451</t>
  </si>
  <si>
    <t>INV-4779</t>
  </si>
  <si>
    <t>INV-6368</t>
  </si>
  <si>
    <t>PO-2024-2459</t>
  </si>
  <si>
    <t>INV-9986</t>
  </si>
  <si>
    <t>PO-2024-2460</t>
  </si>
  <si>
    <t>INV-4763</t>
  </si>
  <si>
    <t>PO-2024-2461</t>
  </si>
  <si>
    <t>INV-6174</t>
  </si>
  <si>
    <t>PO-2024-2465</t>
  </si>
  <si>
    <t>INV-7460</t>
  </si>
  <si>
    <t>PO-2024-2469</t>
  </si>
  <si>
    <t>INV-5451</t>
  </si>
  <si>
    <t>PO-2024-2473</t>
  </si>
  <si>
    <t>INV-8412</t>
  </si>
  <si>
    <t>PO-2024-2474</t>
  </si>
  <si>
    <t>INV-9277</t>
  </si>
  <si>
    <t>PO-2024-2475</t>
  </si>
  <si>
    <t>INV-5394</t>
  </si>
  <si>
    <t>PO-2024-2476</t>
  </si>
  <si>
    <t>INV-9265</t>
  </si>
  <si>
    <t>PO-2024-2477</t>
  </si>
  <si>
    <t>INV-7400</t>
  </si>
  <si>
    <t>PO-2024-2480</t>
  </si>
  <si>
    <t>INV-7407</t>
  </si>
  <si>
    <t>PO-2024-2483</t>
  </si>
  <si>
    <t>INV-5899</t>
  </si>
  <si>
    <t>PO-2024-2486</t>
  </si>
  <si>
    <t>INV-4325</t>
  </si>
  <si>
    <t>PO-2024-2487</t>
  </si>
  <si>
    <t>INV-6249</t>
  </si>
  <si>
    <t>PO-2024-2488</t>
  </si>
  <si>
    <t>INV-9500</t>
  </si>
  <si>
    <t>PO-2024-2489</t>
  </si>
  <si>
    <t>INV-5306</t>
  </si>
  <si>
    <t>PO-2024-2492</t>
  </si>
  <si>
    <t>INV-4203</t>
  </si>
  <si>
    <t>INV-5850</t>
  </si>
  <si>
    <t>PO-2024-2495</t>
  </si>
  <si>
    <t>INV-6029</t>
  </si>
  <si>
    <t>PO-2024-2496</t>
  </si>
  <si>
    <t>INV-5020</t>
  </si>
  <si>
    <t>INV-5119</t>
  </si>
  <si>
    <t>PO-2024-2498</t>
  </si>
  <si>
    <t>INV-9619</t>
  </si>
  <si>
    <t>PO-2024-2499</t>
  </si>
  <si>
    <t>INV-7831</t>
  </si>
  <si>
    <t>PO-2024-2500</t>
  </si>
  <si>
    <t>INV-4907</t>
  </si>
  <si>
    <t>PO-2024-2501</t>
  </si>
  <si>
    <t>INV-6587</t>
  </si>
  <si>
    <t>PO-2024-2502</t>
  </si>
  <si>
    <t>INV-5900</t>
  </si>
  <si>
    <t>PO-2024-2503</t>
  </si>
  <si>
    <t>INV-9069</t>
  </si>
  <si>
    <t>PO-2024-2504</t>
  </si>
  <si>
    <t>INV-4683</t>
  </si>
  <si>
    <t>PO-2024-2505</t>
  </si>
  <si>
    <t>INV-7306</t>
  </si>
  <si>
    <t>PO-2024-2506</t>
  </si>
  <si>
    <t>INV-4524</t>
  </si>
  <si>
    <t>PO-2024-2508</t>
  </si>
  <si>
    <t>INV-7100</t>
  </si>
  <si>
    <t>PO-2024-2510</t>
  </si>
  <si>
    <t>INV-4193</t>
  </si>
  <si>
    <t>PO-2024-2515</t>
  </si>
  <si>
    <t>INV-4171</t>
  </si>
  <si>
    <t>PO-2024-2518</t>
  </si>
  <si>
    <t>PO-2024-2519</t>
  </si>
  <si>
    <t>INV-4250</t>
  </si>
  <si>
    <t>PO-2024-2521</t>
  </si>
  <si>
    <t>INV-9028</t>
  </si>
  <si>
    <t>INV-5724</t>
  </si>
  <si>
    <t>PO-2024-2531</t>
  </si>
  <si>
    <t>INV-7057</t>
  </si>
  <si>
    <t>PO-2024-2532</t>
  </si>
  <si>
    <t>INV-9274</t>
  </si>
  <si>
    <t>PO-2024-2533</t>
  </si>
  <si>
    <t>INV-8160</t>
  </si>
  <si>
    <t>PO-2024-2534</t>
  </si>
  <si>
    <t>INV-7760</t>
  </si>
  <si>
    <t>PO-2024-2535</t>
  </si>
  <si>
    <t>PO-2024-2537</t>
  </si>
  <si>
    <t>INV-4498</t>
  </si>
  <si>
    <t>PO-2024-2538</t>
  </si>
  <si>
    <t>INV-7834</t>
  </si>
  <si>
    <t>PO-2024-2539</t>
  </si>
  <si>
    <t>INV-5578</t>
  </si>
  <si>
    <t>PO-2024-2540</t>
  </si>
  <si>
    <t>INV-5548</t>
  </si>
  <si>
    <t>PO-2024-2541</t>
  </si>
  <si>
    <t>INV-9014</t>
  </si>
  <si>
    <t>PO-2024-2542</t>
  </si>
  <si>
    <t>INV-9020</t>
  </si>
  <si>
    <t>PO-2024-2549</t>
  </si>
  <si>
    <t>INV-8703</t>
  </si>
  <si>
    <t>PO-2024-2552</t>
  </si>
  <si>
    <t>INV-4566</t>
  </si>
  <si>
    <t>PO-2024-2554</t>
  </si>
  <si>
    <t>INV-4202</t>
  </si>
  <si>
    <t>PO-2024-2555</t>
  </si>
  <si>
    <t>INV-7353</t>
  </si>
  <si>
    <t>PO-2024-2556</t>
  </si>
  <si>
    <t>INV-6233</t>
  </si>
  <si>
    <t>PO-2024-2557</t>
  </si>
  <si>
    <t>INV-5299</t>
  </si>
  <si>
    <t>PO-2024-2560</t>
  </si>
  <si>
    <t>INV-7912</t>
  </si>
  <si>
    <t>PO-2024-2561</t>
  </si>
  <si>
    <t>INV-7404</t>
  </si>
  <si>
    <t>PO-2024-2565</t>
  </si>
  <si>
    <t>INV-4045</t>
  </si>
  <si>
    <t>INV-4542</t>
  </si>
  <si>
    <t>PO-2024-2569</t>
  </si>
  <si>
    <t>INV-5741</t>
  </si>
  <si>
    <t>PO-2024-2571</t>
  </si>
  <si>
    <t>INV-4931</t>
  </si>
  <si>
    <t>PO-2024-2572</t>
  </si>
  <si>
    <t>INV-5999</t>
  </si>
  <si>
    <t>PO-2024-2575</t>
  </si>
  <si>
    <t>INV-9201</t>
  </si>
  <si>
    <t>PO-2024-2576</t>
  </si>
  <si>
    <t>PO-2024-2578</t>
  </si>
  <si>
    <t>INV-9927</t>
  </si>
  <si>
    <t>PO-2024-2579</t>
  </si>
  <si>
    <t>INV-7186</t>
  </si>
  <si>
    <t>PO-2024-2583</t>
  </si>
  <si>
    <t>INV-4874</t>
  </si>
  <si>
    <t>PO-2024-2584</t>
  </si>
  <si>
    <t>INV-4234</t>
  </si>
  <si>
    <t>PO-2024-2585</t>
  </si>
  <si>
    <t>INV-9723</t>
  </si>
  <si>
    <t>PO-2024-2587</t>
  </si>
  <si>
    <t>INV-4341</t>
  </si>
  <si>
    <t>PO-2024-2589</t>
  </si>
  <si>
    <t>INV-7195</t>
  </si>
  <si>
    <t>PO-2024-2595</t>
  </si>
  <si>
    <t>PO-2024-2596</t>
  </si>
  <si>
    <t>INV-4011</t>
  </si>
  <si>
    <t>PO-2024-2597</t>
  </si>
  <si>
    <t>INV-6410</t>
  </si>
  <si>
    <t>PO-2024-2598</t>
  </si>
  <si>
    <t>INV-6416</t>
  </si>
  <si>
    <t>PO-2024-2599</t>
  </si>
  <si>
    <t>INV-5364</t>
  </si>
  <si>
    <t>PO-2024-2602</t>
  </si>
  <si>
    <t>PO-2024-2604</t>
  </si>
  <si>
    <t>INV-9751</t>
  </si>
  <si>
    <t>PO-2024-2605</t>
  </si>
  <si>
    <t>INV-7955</t>
  </si>
  <si>
    <t>PO-2024-2608</t>
  </si>
  <si>
    <t>INV-8944</t>
  </si>
  <si>
    <t>PO-2024-2609</t>
  </si>
  <si>
    <t>INV-9401</t>
  </si>
  <si>
    <t>PO-2024-2610</t>
  </si>
  <si>
    <t>PO-2024-2611</t>
  </si>
  <si>
    <t>INV-6407</t>
  </si>
  <si>
    <t>PO-2024-2616</t>
  </si>
  <si>
    <t>INV-7381</t>
  </si>
  <si>
    <t>PO-2024-2617</t>
  </si>
  <si>
    <t>PO-2024-2621</t>
  </si>
  <si>
    <t>INV-9976</t>
  </si>
  <si>
    <t>PO-2024-2623</t>
  </si>
  <si>
    <t>PO-2024-2625</t>
  </si>
  <si>
    <t>INV-7551</t>
  </si>
  <si>
    <t>PO-2024-2631</t>
  </si>
  <si>
    <t>INV-5554</t>
  </si>
  <si>
    <t>PO-2024-2632</t>
  </si>
  <si>
    <t>INV-5126</t>
  </si>
  <si>
    <t>PO-2024-2633</t>
  </si>
  <si>
    <t>INV-5017</t>
  </si>
  <si>
    <t>PO-2024-2634</t>
  </si>
  <si>
    <t>INV-6944</t>
  </si>
  <si>
    <t>PO-2024-2635</t>
  </si>
  <si>
    <t>INV-9306</t>
  </si>
  <si>
    <t>PO-2024-2636</t>
  </si>
  <si>
    <t>INV-6274</t>
  </si>
  <si>
    <t>PO-2024-2638</t>
  </si>
  <si>
    <t>INV-4519</t>
  </si>
  <si>
    <t>PO-2024-2639</t>
  </si>
  <si>
    <t>INV-7999</t>
  </si>
  <si>
    <t>PO-2024-2640</t>
  </si>
  <si>
    <t>INV-8736</t>
  </si>
  <si>
    <t>PO-2024-2641</t>
  </si>
  <si>
    <t>INV-9985</t>
  </si>
  <si>
    <t>PO-2024-2642</t>
  </si>
  <si>
    <t>INV-8601</t>
  </si>
  <si>
    <t>PO-2024-2646</t>
  </si>
  <si>
    <t>INV-9542</t>
  </si>
  <si>
    <t>PO-2024-2648</t>
  </si>
  <si>
    <t>INV-4972</t>
  </si>
  <si>
    <t>PO-2024-2649</t>
  </si>
  <si>
    <t>INV-8958</t>
  </si>
  <si>
    <t>PO-2024-2650</t>
  </si>
  <si>
    <t>INV-4575</t>
  </si>
  <si>
    <t>PO-2024-2651</t>
  </si>
  <si>
    <t>INV-9011</t>
  </si>
  <si>
    <t>PO-2024-2658</t>
  </si>
  <si>
    <t>INV-9781</t>
  </si>
  <si>
    <t>PO-2024-2659</t>
  </si>
  <si>
    <t>INV-6073</t>
  </si>
  <si>
    <t>PO-2024-2666</t>
  </si>
  <si>
    <t>INV-9186</t>
  </si>
  <si>
    <t>PO-2024-2668</t>
  </si>
  <si>
    <t>INV-9565</t>
  </si>
  <si>
    <t>PO-2024-2670</t>
  </si>
  <si>
    <t>INV-7565</t>
  </si>
  <si>
    <t>PO-2024-2672</t>
  </si>
  <si>
    <t>INV-4351</t>
  </si>
  <si>
    <t>PO-2024-2673</t>
  </si>
  <si>
    <t>PO-2024-2674</t>
  </si>
  <si>
    <t>INV-4191</t>
  </si>
  <si>
    <t>PO-2024-2676</t>
  </si>
  <si>
    <t>PO-2024-2677</t>
  </si>
  <si>
    <t>INV-7728</t>
  </si>
  <si>
    <t>PO-2024-2678</t>
  </si>
  <si>
    <t>INV-4933</t>
  </si>
  <si>
    <t>PO-2024-2680</t>
  </si>
  <si>
    <t>PO-2024-2682</t>
  </si>
  <si>
    <t>INV-7337</t>
  </si>
  <si>
    <t>PO-2024-2685</t>
  </si>
  <si>
    <t>INV-7851</t>
  </si>
  <si>
    <t>INV-9911</t>
  </si>
  <si>
    <t>PO-2024-2690</t>
  </si>
  <si>
    <t>INV-4415</t>
  </si>
  <si>
    <t>PO-2024-2691</t>
  </si>
  <si>
    <t>INV-7630</t>
  </si>
  <si>
    <t>PO-2024-2692</t>
  </si>
  <si>
    <t>INV-5063</t>
  </si>
  <si>
    <t>PO-2024-2693</t>
  </si>
  <si>
    <t>INV-9528</t>
  </si>
  <si>
    <t>INV-4539</t>
  </si>
  <si>
    <t>INV-7293</t>
  </si>
  <si>
    <t>PO-2024-2700</t>
  </si>
  <si>
    <t>INV-6248</t>
  </si>
  <si>
    <t>PO-2024-2704</t>
  </si>
  <si>
    <t>INV-9622</t>
  </si>
  <si>
    <t>PO-2024-2706</t>
  </si>
  <si>
    <t>INV-4653</t>
  </si>
  <si>
    <t>PO-2024-2708</t>
  </si>
  <si>
    <t>INV-4145</t>
  </si>
  <si>
    <t>PO-2024-2710</t>
  </si>
  <si>
    <t>INV-6893</t>
  </si>
  <si>
    <t>PO-2024-2713</t>
  </si>
  <si>
    <t>INV-7156</t>
  </si>
  <si>
    <t>PO-2024-2715</t>
  </si>
  <si>
    <t>PO-2024-2716</t>
  </si>
  <si>
    <t>INV-6008</t>
  </si>
  <si>
    <t>PO-2024-2717</t>
  </si>
  <si>
    <t>PO-2024-2721</t>
  </si>
  <si>
    <t>INV-8665</t>
  </si>
  <si>
    <t>PO-2024-2722</t>
  </si>
  <si>
    <t>INV-7766</t>
  </si>
  <si>
    <t>PO-2024-2724</t>
  </si>
  <si>
    <t>INV-6184</t>
  </si>
  <si>
    <t>PO-2024-2728</t>
  </si>
  <si>
    <t>INV-8440</t>
  </si>
  <si>
    <t>PO-2024-2733</t>
  </si>
  <si>
    <t>INV-5362</t>
  </si>
  <si>
    <t>PO-2024-2736</t>
  </si>
  <si>
    <t>INV-7739</t>
  </si>
  <si>
    <t>PO-2024-2738</t>
  </si>
  <si>
    <t>INV-5218</t>
  </si>
  <si>
    <t>PO-2024-2739</t>
  </si>
  <si>
    <t>INV-7763</t>
  </si>
  <si>
    <t>PO-2024-2741</t>
  </si>
  <si>
    <t>INV-9004</t>
  </si>
  <si>
    <t>PO-2024-2742</t>
  </si>
  <si>
    <t>PO-2024-2747</t>
  </si>
  <si>
    <t>INV-8988</t>
  </si>
  <si>
    <t>PO-2024-2749</t>
  </si>
  <si>
    <t>INV-7481</t>
  </si>
  <si>
    <t>PO-2024-2750</t>
  </si>
  <si>
    <t>INV-5710</t>
  </si>
  <si>
    <t>PO-2024-2752</t>
  </si>
  <si>
    <t>INV-5645</t>
  </si>
  <si>
    <t>PO-2024-2753</t>
  </si>
  <si>
    <t>INV-6051</t>
  </si>
  <si>
    <t>PO-2024-2756</t>
  </si>
  <si>
    <t>PO-2024-2758</t>
  </si>
  <si>
    <t>INV-7058</t>
  </si>
  <si>
    <t>PO-2024-2760</t>
  </si>
  <si>
    <t>PO-2024-2762</t>
  </si>
  <si>
    <t>INV-5187</t>
  </si>
  <si>
    <t>PO-2024-2763</t>
  </si>
  <si>
    <t>INV-9736</t>
  </si>
  <si>
    <t>PO-2024-2764</t>
  </si>
  <si>
    <t>INV-4573</t>
  </si>
  <si>
    <t>PO-2024-2766</t>
  </si>
  <si>
    <t>INV-9522</t>
  </si>
  <si>
    <t>PO-2024-2770</t>
  </si>
  <si>
    <t>INV-9194</t>
  </si>
  <si>
    <t>PO-2024-2773</t>
  </si>
  <si>
    <t>INV-6415</t>
  </si>
  <si>
    <t>PO-2024-2775</t>
  </si>
  <si>
    <t>INV-9205</t>
  </si>
  <si>
    <t>PO-2024-2776</t>
  </si>
  <si>
    <t>INV-4687</t>
  </si>
  <si>
    <t>PO-2024-2777</t>
  </si>
  <si>
    <t>INV-6853</t>
  </si>
  <si>
    <t>PO-2024-2778</t>
  </si>
  <si>
    <t>INV-7682</t>
  </si>
  <si>
    <t>PO-2024-2782</t>
  </si>
  <si>
    <t>INV-6608</t>
  </si>
  <si>
    <t>PO-2024-2784</t>
  </si>
  <si>
    <t>PO-2024-2786</t>
  </si>
  <si>
    <t>INV-5622</t>
  </si>
  <si>
    <t>PO-2024-2787</t>
  </si>
  <si>
    <t>INV-8392</t>
  </si>
  <si>
    <t>PO-2024-2792</t>
  </si>
  <si>
    <t>INV-5778</t>
  </si>
  <si>
    <t>PO-2024-2793</t>
  </si>
  <si>
    <t>INV-5229</t>
  </si>
  <si>
    <t>PO-2024-2794</t>
  </si>
  <si>
    <t>INV-7091</t>
  </si>
  <si>
    <t>INV-8522</t>
  </si>
  <si>
    <t>PO-2024-2796</t>
  </si>
  <si>
    <t>INV-4579</t>
  </si>
  <si>
    <t>PO-2024-2799</t>
  </si>
  <si>
    <t>INV-7812</t>
  </si>
  <si>
    <t>PO-2024-2802</t>
  </si>
  <si>
    <t>PO-2024-2806</t>
  </si>
  <si>
    <t>PO-2024-2807</t>
  </si>
  <si>
    <t>PO-2024-2809</t>
  </si>
  <si>
    <t>INV-9072</t>
  </si>
  <si>
    <t>PO-2024-2810</t>
  </si>
  <si>
    <t>INV-7747</t>
  </si>
  <si>
    <t>PO-2024-2811</t>
  </si>
  <si>
    <t>INV-7537</t>
  </si>
  <si>
    <t>PO-2024-2812</t>
  </si>
  <si>
    <t>INV-7001</t>
  </si>
  <si>
    <t>PO-2024-2814</t>
  </si>
  <si>
    <t>INV-9643</t>
  </si>
  <si>
    <t>PO-2024-2815</t>
  </si>
  <si>
    <t>INV-5854</t>
  </si>
  <si>
    <t>PO-2024-2816</t>
  </si>
  <si>
    <t>PO-2024-2818</t>
  </si>
  <si>
    <t>INV-7214</t>
  </si>
  <si>
    <t>PO-2024-2822</t>
  </si>
  <si>
    <t>PO-2024-2824</t>
  </si>
  <si>
    <t>INV-5134</t>
  </si>
  <si>
    <t>PO-2024-2827</t>
  </si>
  <si>
    <t>INV-8632</t>
  </si>
  <si>
    <t>INV-6329</t>
  </si>
  <si>
    <t>PO-2024-2834</t>
  </si>
  <si>
    <t>INV-7260</t>
  </si>
  <si>
    <t>PO-2024-2839</t>
  </si>
  <si>
    <t>INV-8197</t>
  </si>
  <si>
    <t>PO-2024-2844</t>
  </si>
  <si>
    <t>INV-9689</t>
  </si>
  <si>
    <t>PO-2024-2846</t>
  </si>
  <si>
    <t>INV-8083</t>
  </si>
  <si>
    <t>PO-2024-2850</t>
  </si>
  <si>
    <t>INV-7453</t>
  </si>
  <si>
    <t>PO-2024-2858</t>
  </si>
  <si>
    <t>INV-6502</t>
  </si>
  <si>
    <t>PO-2024-2859</t>
  </si>
  <si>
    <t>INV-4265</t>
  </si>
  <si>
    <t>PO-2024-2862</t>
  </si>
  <si>
    <t>INV-8741</t>
  </si>
  <si>
    <t>PO-2024-2864</t>
  </si>
  <si>
    <t>INV-5285</t>
  </si>
  <si>
    <t>PO-2024-2865</t>
  </si>
  <si>
    <t>INV-7886</t>
  </si>
  <si>
    <t>PO-2024-2867</t>
  </si>
  <si>
    <t>PO-2024-2869</t>
  </si>
  <si>
    <t>INV-4364</t>
  </si>
  <si>
    <t>INV-4219</t>
  </si>
  <si>
    <t>PO-2024-2875</t>
  </si>
  <si>
    <t>PO-2024-2876</t>
  </si>
  <si>
    <t>PO-2024-2877</t>
  </si>
  <si>
    <t>INV-6821</t>
  </si>
  <si>
    <t>PO-2024-2878</t>
  </si>
  <si>
    <t>INV-7909</t>
  </si>
  <si>
    <t>INV-7125</t>
  </si>
  <si>
    <t>PO-2024-2880</t>
  </si>
  <si>
    <t>INV-7179</t>
  </si>
  <si>
    <t>PO-2024-2882</t>
  </si>
  <si>
    <t>INV-5980</t>
  </si>
  <si>
    <t>PO-2024-2883</t>
  </si>
  <si>
    <t>INV-7667</t>
  </si>
  <si>
    <t>PO-2024-2890</t>
  </si>
  <si>
    <t>INV-8435</t>
  </si>
  <si>
    <t>PO-2024-2894</t>
  </si>
  <si>
    <t>INV-6253</t>
  </si>
  <si>
    <t>PO-2024-2897</t>
  </si>
  <si>
    <t>INV-5079</t>
  </si>
  <si>
    <t>PO-2024-2900</t>
  </si>
  <si>
    <t>INV-9584</t>
  </si>
  <si>
    <t>PO-2024-2902</t>
  </si>
  <si>
    <t>INV-9545</t>
  </si>
  <si>
    <t>PO-2024-2903</t>
  </si>
  <si>
    <t>INV-6786</t>
  </si>
  <si>
    <t>PO-2024-2904</t>
  </si>
  <si>
    <t>INV-8025</t>
  </si>
  <si>
    <t>PO-2024-2906</t>
  </si>
  <si>
    <t>INV-5845</t>
  </si>
  <si>
    <t>PO-2024-2907</t>
  </si>
  <si>
    <t>INV-4276</t>
  </si>
  <si>
    <t>PO-2024-2908</t>
  </si>
  <si>
    <t>INV-7168</t>
  </si>
  <si>
    <t>PO-2024-2914</t>
  </si>
  <si>
    <t>INV-5719</t>
  </si>
  <si>
    <t>PO-2024-2919</t>
  </si>
  <si>
    <t>INV-5964</t>
  </si>
  <si>
    <t>PO-2024-2920</t>
  </si>
  <si>
    <t>INV-4012</t>
  </si>
  <si>
    <t>PO-2024-2922</t>
  </si>
  <si>
    <t>INV-7438</t>
  </si>
  <si>
    <t>PO-2024-2923</t>
  </si>
  <si>
    <t>INV-8809</t>
  </si>
  <si>
    <t>PO-2024-2924</t>
  </si>
  <si>
    <t>INV-6052</t>
  </si>
  <si>
    <t>PO-2024-2930</t>
  </si>
  <si>
    <t>INV-9426</t>
  </si>
  <si>
    <t>PO-2024-2935</t>
  </si>
  <si>
    <t>INV-8973</t>
  </si>
  <si>
    <t>PO-2024-2937</t>
  </si>
  <si>
    <t>INV-8417</t>
  </si>
  <si>
    <t>PO-2024-2939</t>
  </si>
  <si>
    <t>INV-9292</t>
  </si>
  <si>
    <t>PO-2024-2940</t>
  </si>
  <si>
    <t>INV-9107</t>
  </si>
  <si>
    <t>PO-2024-2941</t>
  </si>
  <si>
    <t>INV-8095</t>
  </si>
  <si>
    <t>PO-2024-2942</t>
  </si>
  <si>
    <t>INV-4990</t>
  </si>
  <si>
    <t>PO-2024-2943</t>
  </si>
  <si>
    <t>PO-2024-2945</t>
  </si>
  <si>
    <t>INV-6423</t>
  </si>
  <si>
    <t>PO-2024-2946</t>
  </si>
  <si>
    <t>PO-2024-2949</t>
  </si>
  <si>
    <t>INV-8306</t>
  </si>
  <si>
    <t>PO-2024-2950</t>
  </si>
  <si>
    <t>INV-9469</t>
  </si>
  <si>
    <t>PO-2024-2951</t>
  </si>
  <si>
    <t>INV-6224</t>
  </si>
  <si>
    <t>PO-2024-2952</t>
  </si>
  <si>
    <t>INV-9427</t>
  </si>
  <si>
    <t>PO-2024-2956</t>
  </si>
  <si>
    <t>INV-4358</t>
  </si>
  <si>
    <t>PO-2024-2957</t>
  </si>
  <si>
    <t>INV-6947</t>
  </si>
  <si>
    <t>PO-2024-2958</t>
  </si>
  <si>
    <t>PO-2024-2960</t>
  </si>
  <si>
    <t>INV-7858</t>
  </si>
  <si>
    <t>PO-2024-2963</t>
  </si>
  <si>
    <t>INV-6770</t>
  </si>
  <si>
    <t>PO-2024-2965</t>
  </si>
  <si>
    <t>PO-2024-2966</t>
  </si>
  <si>
    <t>PO-2024-2969</t>
  </si>
  <si>
    <t>PO-2024-2970</t>
  </si>
  <si>
    <t>INV-9287</t>
  </si>
  <si>
    <t>PO-2024-2972</t>
  </si>
  <si>
    <t>INV-8208</t>
  </si>
  <si>
    <t>PO-2024-2976</t>
  </si>
  <si>
    <t>INV-6255</t>
  </si>
  <si>
    <t>PO-2024-2981</t>
  </si>
  <si>
    <t>PO-2024-2984</t>
  </si>
  <si>
    <t>INV-8447</t>
  </si>
  <si>
    <t>PO-2024-2985</t>
  </si>
  <si>
    <t>INV-8752</t>
  </si>
  <si>
    <t>PO-2024-2987</t>
  </si>
  <si>
    <t>INV-5981</t>
  </si>
  <si>
    <t>PO-2024-2989</t>
  </si>
  <si>
    <t>INV-6292</t>
  </si>
  <si>
    <t>PO-2024-2991</t>
  </si>
  <si>
    <t>INV-8234</t>
  </si>
  <si>
    <t>PO-2024-2992</t>
  </si>
  <si>
    <t>INV-6915</t>
  </si>
  <si>
    <t>PO-2024-2993</t>
  </si>
  <si>
    <t>INV-6898</t>
  </si>
  <si>
    <t>PO-2024-2996</t>
  </si>
  <si>
    <t>INV-9031</t>
  </si>
  <si>
    <t>PO-2024-2997</t>
  </si>
  <si>
    <t>PO-2024-2998</t>
  </si>
  <si>
    <t>INV-4622</t>
  </si>
  <si>
    <t>PO-2024-3001</t>
  </si>
  <si>
    <t>INV-4048</t>
  </si>
  <si>
    <t>PO-2024-3005</t>
  </si>
  <si>
    <t>INV-6117</t>
  </si>
  <si>
    <t>PO-2024-3007</t>
  </si>
  <si>
    <t>INV-7668</t>
  </si>
  <si>
    <t>PO-2024-3010</t>
  </si>
  <si>
    <t>PO-2024-3013</t>
  </si>
  <si>
    <t>INV-5028</t>
  </si>
  <si>
    <t>PO-2024-3014</t>
  </si>
  <si>
    <t>PO-2024-3016</t>
  </si>
  <si>
    <t>INV-6166</t>
  </si>
  <si>
    <t>PO-2024-3017</t>
  </si>
  <si>
    <t>INV-6932</t>
  </si>
  <si>
    <t>PO-2024-3018</t>
  </si>
  <si>
    <t>INV-5925</t>
  </si>
  <si>
    <t>PO-2024-3021</t>
  </si>
  <si>
    <t>INV-4146</t>
  </si>
  <si>
    <t>PO-2024-3023</t>
  </si>
  <si>
    <t>INV-7585</t>
  </si>
  <si>
    <t>PO-2024-3024</t>
  </si>
  <si>
    <t>PO-2024-3025</t>
  </si>
  <si>
    <t>INV-9502</t>
  </si>
  <si>
    <t>PO-2024-3026</t>
  </si>
  <si>
    <t>INV-4267</t>
  </si>
  <si>
    <t>PO-2024-3028</t>
  </si>
  <si>
    <t>INV-5143</t>
  </si>
  <si>
    <t>PO-2024-3030</t>
  </si>
  <si>
    <t>INV-9447</t>
  </si>
  <si>
    <t>PO-2024-3032</t>
  </si>
  <si>
    <t>PO-2024-3033</t>
  </si>
  <si>
    <t>INV-7740</t>
  </si>
  <si>
    <t>PO-2024-3034</t>
  </si>
  <si>
    <t>INV-8006</t>
  </si>
  <si>
    <t>PO-2024-3037</t>
  </si>
  <si>
    <t>INV-4906</t>
  </si>
  <si>
    <t>PO-2024-3039</t>
  </si>
  <si>
    <t>INV-4279</t>
  </si>
  <si>
    <t>PO-2024-3040</t>
  </si>
  <si>
    <t>PO-2024-3041</t>
  </si>
  <si>
    <t>PO-2024-3049</t>
  </si>
  <si>
    <t>INV-8995</t>
  </si>
  <si>
    <t>PO-2024-3051</t>
  </si>
  <si>
    <t>INV-8136</t>
  </si>
  <si>
    <t>PO-2024-3058</t>
  </si>
  <si>
    <t>INV-4076</t>
  </si>
  <si>
    <t>PO-2024-3059</t>
  </si>
  <si>
    <t>INV-7188</t>
  </si>
  <si>
    <t>PO-2024-3061</t>
  </si>
  <si>
    <t>INV-9615</t>
  </si>
  <si>
    <t>PO-2024-3062</t>
  </si>
  <si>
    <t>INV-7523</t>
  </si>
  <si>
    <t>PO-2024-3063</t>
  </si>
  <si>
    <t>INV-7235</t>
  </si>
  <si>
    <t>PO-2024-3065</t>
  </si>
  <si>
    <t>INV-9396</t>
  </si>
  <si>
    <t>PO-2024-3066</t>
  </si>
  <si>
    <t>INV-9269</t>
  </si>
  <si>
    <t>PO-2024-3067</t>
  </si>
  <si>
    <t>INV-4220</t>
  </si>
  <si>
    <t>PO-2024-3068</t>
  </si>
  <si>
    <t>INV-8824</t>
  </si>
  <si>
    <t>PO-2024-3069</t>
  </si>
  <si>
    <t>INV-9293</t>
  </si>
  <si>
    <t>PO-2024-3071</t>
  </si>
  <si>
    <t>INV-9671</t>
  </si>
  <si>
    <t>PO-2024-3072</t>
  </si>
  <si>
    <t>INV-9474</t>
  </si>
  <si>
    <t>PO-2024-3073</t>
  </si>
  <si>
    <t>INV-4264</t>
  </si>
  <si>
    <t>PO-2024-3074</t>
  </si>
  <si>
    <t>INV-5989</t>
  </si>
  <si>
    <t>PO-2024-3075</t>
  </si>
  <si>
    <t>PO-2024-3078</t>
  </si>
  <si>
    <t>PO-2024-3079</t>
  </si>
  <si>
    <t>INV-8831</t>
  </si>
  <si>
    <t>PO-2024-3080</t>
  </si>
  <si>
    <t>INV-8166</t>
  </si>
  <si>
    <t>PO-2024-3085</t>
  </si>
  <si>
    <t>INV-9296</t>
  </si>
  <si>
    <t>PO-2024-3087</t>
  </si>
  <si>
    <t>INV-4410</t>
  </si>
  <si>
    <t>PO-2024-3090</t>
  </si>
  <si>
    <t>INV-4661</t>
  </si>
  <si>
    <t>PO-2024-3091</t>
  </si>
  <si>
    <t>INV-7661</t>
  </si>
  <si>
    <t>PO-2024-3093</t>
  </si>
  <si>
    <t>INV-9345</t>
  </si>
  <si>
    <t>PO-2024-3094</t>
  </si>
  <si>
    <t>INV-8105</t>
  </si>
  <si>
    <t>PO-2024-3095</t>
  </si>
  <si>
    <t>INV-9997</t>
  </si>
  <si>
    <t>PO-2024-3096</t>
  </si>
  <si>
    <t>INV-9649</t>
  </si>
  <si>
    <t>PO-2024-3097</t>
  </si>
  <si>
    <t>INV-6800</t>
  </si>
  <si>
    <t>PO-2024-3098</t>
  </si>
  <si>
    <t>INV-4766</t>
  </si>
  <si>
    <t>PO-2024-3099</t>
  </si>
  <si>
    <t>INV-6427</t>
  </si>
  <si>
    <t>PO-2024-3102</t>
  </si>
  <si>
    <t>INV-4020</t>
  </si>
  <si>
    <t>PO-2024-3103</t>
  </si>
  <si>
    <t>INV-5475</t>
  </si>
  <si>
    <t>PO-2024-3104</t>
  </si>
  <si>
    <t>INV-8297</t>
  </si>
  <si>
    <t>PO-2024-3106</t>
  </si>
  <si>
    <t>INV-5058</t>
  </si>
  <si>
    <t>PO-2024-3109</t>
  </si>
  <si>
    <t>PO-2024-3110</t>
  </si>
  <si>
    <t>PO-2024-3111</t>
  </si>
  <si>
    <t>INV-7773</t>
  </si>
  <si>
    <t>PO-2024-3115</t>
  </si>
  <si>
    <t>INV-4964</t>
  </si>
  <si>
    <t>PO-2024-3117</t>
  </si>
  <si>
    <t>INV-8771</t>
  </si>
  <si>
    <t>PO-2024-3118</t>
  </si>
  <si>
    <t>INV-8372</t>
  </si>
  <si>
    <t>INV-6235</t>
  </si>
  <si>
    <t>PO-2024-3122</t>
  </si>
  <si>
    <t>INV-7845</t>
  </si>
  <si>
    <t>PO-2024-3123</t>
  </si>
  <si>
    <t>INV-8645</t>
  </si>
  <si>
    <t>PO-2024-3125</t>
  </si>
  <si>
    <t>INV-9621</t>
  </si>
  <si>
    <t>PO-2024-3130</t>
  </si>
  <si>
    <t>INV-6530</t>
  </si>
  <si>
    <t>PO-2024-3131</t>
  </si>
  <si>
    <t>INV-7788</t>
  </si>
  <si>
    <t>PO-2024-3132</t>
  </si>
  <si>
    <t>INV-4814</t>
  </si>
  <si>
    <t>INV-4115</t>
  </si>
  <si>
    <t>PO-2024-3138</t>
  </si>
  <si>
    <t>PO-2024-3140</t>
  </si>
  <si>
    <t>PO-2024-3142</t>
  </si>
  <si>
    <t>PO-2024-3146</t>
  </si>
  <si>
    <t>INV-8093</t>
  </si>
  <si>
    <t>PO-2024-3147</t>
  </si>
  <si>
    <t>INV-8613</t>
  </si>
  <si>
    <t>PO-2024-3148</t>
  </si>
  <si>
    <t>INV-5011</t>
  </si>
  <si>
    <t>PO-2024-3150</t>
  </si>
  <si>
    <t>INV-7229</t>
  </si>
  <si>
    <t>PO-2024-3151</t>
  </si>
  <si>
    <t>INV-5903</t>
  </si>
  <si>
    <t>PO-2024-3153</t>
  </si>
  <si>
    <t>INV-5014</t>
  </si>
  <si>
    <t>PO-2024-3154</t>
  </si>
  <si>
    <t>INV-4898</t>
  </si>
  <si>
    <t>PO-2024-3157</t>
  </si>
  <si>
    <t>INV-6120</t>
  </si>
  <si>
    <t>PO-2024-3159</t>
  </si>
  <si>
    <t>INV-6785</t>
  </si>
  <si>
    <t>PO-2024-3163</t>
  </si>
  <si>
    <t>INV-4015</t>
  </si>
  <si>
    <t>PO-2024-3166</t>
  </si>
  <si>
    <t>PO-2024-3168</t>
  </si>
  <si>
    <t>INV-8064</t>
  </si>
  <si>
    <t>PO-2024-3170</t>
  </si>
  <si>
    <t>INV-6464</t>
  </si>
  <si>
    <t>PO-2024-3171</t>
  </si>
  <si>
    <t>INV-6182</t>
  </si>
  <si>
    <t>PO-2024-3172</t>
  </si>
  <si>
    <t>PO-2024-3173</t>
  </si>
  <si>
    <t>INV-7106</t>
  </si>
  <si>
    <t>PO-2024-3175</t>
  </si>
  <si>
    <t>INV-9921</t>
  </si>
  <si>
    <t>PO-2024-3176</t>
  </si>
  <si>
    <t>INV-8333</t>
  </si>
  <si>
    <t>PO-2024-3178</t>
  </si>
  <si>
    <t>INV-8535</t>
  </si>
  <si>
    <t>PO-2024-3183</t>
  </si>
  <si>
    <t>INV-9746</t>
  </si>
  <si>
    <t>PO-2024-3184</t>
  </si>
  <si>
    <t>PO-2024-3185</t>
  </si>
  <si>
    <t>INV-5687</t>
  </si>
  <si>
    <t>PO-2024-3187</t>
  </si>
  <si>
    <t>INV-5807</t>
  </si>
  <si>
    <t>PO-2024-3192</t>
  </si>
  <si>
    <t>INV-7340</t>
  </si>
  <si>
    <t>PO-2024-3194</t>
  </si>
  <si>
    <t>INV-7714</t>
  </si>
  <si>
    <t>PO-2024-3195</t>
  </si>
  <si>
    <t>INV-5823</t>
  </si>
  <si>
    <t>PO-2024-3196</t>
  </si>
  <si>
    <t>INV-7599</t>
  </si>
  <si>
    <t>PO-2024-3197</t>
  </si>
  <si>
    <t>INV-9617</t>
  </si>
  <si>
    <t>INV-7815</t>
  </si>
  <si>
    <t>PO-2024-3201</t>
  </si>
  <si>
    <t>PO-2024-3207</t>
  </si>
  <si>
    <t>PO-2024-3210</t>
  </si>
  <si>
    <t>INV-6751</t>
  </si>
  <si>
    <t>PO-2024-3212</t>
  </si>
  <si>
    <t>PO-2024-3213</t>
  </si>
  <si>
    <t>INV-5009</t>
  </si>
  <si>
    <t>PO-2024-3214</t>
  </si>
  <si>
    <t>INV-9134</t>
  </si>
  <si>
    <t>PO-2024-3215</t>
  </si>
  <si>
    <t>INV-9919</t>
  </si>
  <si>
    <t>PO-2024-3216</t>
  </si>
  <si>
    <t>INV-8427</t>
  </si>
  <si>
    <t>PO-2024-3218</t>
  </si>
  <si>
    <t>PO-2024-3221</t>
  </si>
  <si>
    <t>INV-7042</t>
  </si>
  <si>
    <t>PO-2024-3225</t>
  </si>
  <si>
    <t>INV-7088</t>
  </si>
  <si>
    <t>PO-2024-3226</t>
  </si>
  <si>
    <t>PO-2024-3227</t>
  </si>
  <si>
    <t>PO-2024-3231</t>
  </si>
  <si>
    <t>INV-4984</t>
  </si>
  <si>
    <t>PO-2024-3235</t>
  </si>
  <si>
    <t>INV-6961</t>
  </si>
  <si>
    <t>PO-2024-3239</t>
  </si>
  <si>
    <t>PO-2024-3240</t>
  </si>
  <si>
    <t>INV-4555</t>
  </si>
  <si>
    <t>PO-2024-3243</t>
  </si>
  <si>
    <t>INV-9102</t>
  </si>
  <si>
    <t>PO-2024-3245</t>
  </si>
  <si>
    <t>INV-4887</t>
  </si>
  <si>
    <t>PO-2024-3246</t>
  </si>
  <si>
    <t>PO-2024-3247</t>
  </si>
  <si>
    <t>INV-6013</t>
  </si>
  <si>
    <t>PO-2024-3248</t>
  </si>
  <si>
    <t>INV-6486</t>
  </si>
  <si>
    <t>PO-2024-3249</t>
  </si>
  <si>
    <t>INV-5366</t>
  </si>
  <si>
    <t>Fiscal_Year</t>
  </si>
  <si>
    <t>Department</t>
  </si>
  <si>
    <t>Allocated_Budget_PHP</t>
  </si>
  <si>
    <t>Grand Total</t>
  </si>
  <si>
    <t>&lt;05/01/2023</t>
  </si>
  <si>
    <t>2023</t>
  </si>
  <si>
    <t>2024</t>
  </si>
  <si>
    <t>2025</t>
  </si>
  <si>
    <t>Row Labels</t>
  </si>
  <si>
    <t>Sum of RAW_AMOUNT</t>
  </si>
  <si>
    <t>Budget</t>
  </si>
  <si>
    <t>Variance</t>
  </si>
  <si>
    <t>Total Variance</t>
  </si>
  <si>
    <t>Overspend Total</t>
  </si>
  <si>
    <t>%</t>
  </si>
  <si>
    <t>Approved Budget</t>
  </si>
  <si>
    <t>Total Expenditures</t>
  </si>
  <si>
    <t>Dept</t>
  </si>
  <si>
    <t>Total Budget</t>
  </si>
  <si>
    <t>Total Expenditure</t>
  </si>
  <si>
    <t>Variance %</t>
  </si>
  <si>
    <t>Overspend</t>
  </si>
  <si>
    <t>Actual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</si>
</sst>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&quot;₱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9" fontId="0" fillId="0" borderId="0" xfId="1" applyFont="1"/>
    <xf numFmtId="10" fontId="0" fillId="0" borderId="0" xfId="1" applyNumberFormat="1" applyFont="1"/>
    <xf numFmtId="166" fontId="0" fillId="0" borderId="0" xfId="1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numFmt numFmtId="166" formatCode="&quot;₱&quot;#,##0.00"/>
    </dxf>
    <dxf>
      <numFmt numFmtId="166" formatCode="&quot;₱&quot;#,##0.00"/>
    </dxf>
    <dxf>
      <numFmt numFmtId="166" formatCode="&quot;₱&quot;#,##0.00"/>
    </dxf>
    <dxf>
      <numFmt numFmtId="166" formatCode="&quot;₱&quot;#,##0.00"/>
    </dxf>
    <dxf>
      <numFmt numFmtId="166" formatCode="&quot;₱&quot;#,##0.00"/>
    </dxf>
    <dxf>
      <numFmt numFmtId="166" formatCode="&quot;₱&quot;#,##0.00"/>
    </dxf>
    <dxf>
      <numFmt numFmtId="166" formatCode="&quot;₱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Sheet1!$G$15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Sheet1!$G$16:$G$18</c:f>
              <c:numCache>
                <c:formatCode>"₱"#,##0.00</c:formatCode>
                <c:ptCount val="3"/>
                <c:pt idx="0">
                  <c:v>21600000</c:v>
                </c:pt>
                <c:pt idx="1">
                  <c:v>22880000</c:v>
                </c:pt>
                <c:pt idx="2">
                  <c:v>24240000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6-4CB8-A914-76258FD42E44}"/>
            </c:ext>
          </c:extLst>
        </c:ser>
        <c:ser>
          <c:idx val="1"/>
          <c:order val="1"/>
          <c:tx>
            <c:strRef>
              <c:f>Sheet1!$H$15</c:f>
              <c:strCache>
                <c:ptCount val="1"/>
                <c:pt idx="0">
                  <c:v>Actual 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Sheet1!$H$16:$H$18</c:f>
              <c:numCache>
                <c:formatCode>"₱"#,##0.00</c:formatCode>
                <c:ptCount val="3"/>
                <c:pt idx="0">
                  <c:v>23139383.719999995</c:v>
                </c:pt>
                <c:pt idx="1">
                  <c:v>28451016.569999997</c:v>
                </c:pt>
                <c:pt idx="2">
                  <c:v>26474199.780000005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56-4CB8-A914-76258FD42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991679"/>
        <c:axId val="231102095"/>
      </c:lineChart>
      <c:catAx>
        <c:axId val="517991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02095"/>
        <c:crosses val="autoZero"/>
        <c:auto val="1"/>
        <c:lblAlgn val="ctr"/>
        <c:lblOffset val="100"/>
        <c:noMultiLvlLbl val="0"/>
      </c:catAx>
      <c:valAx>
        <c:axId val="23110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₱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14</xdr:row>
      <xdr:rowOff>147636</xdr:rowOff>
    </xdr:from>
    <xdr:to>
      <xdr:col>14</xdr:col>
      <xdr:colOff>66675</xdr:colOff>
      <xdr:row>31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38D13-2ED1-2348-5A3B-0F2837577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zo Bumatay" refreshedDate="46280.779520023149" createdVersion="8" refreshedVersion="8" minRefreshableVersion="3" recordCount="614" xr:uid="{42C849D8-C52A-4ABC-8331-2944BA049E10}">
  <cacheSource type="worksheet">
    <worksheetSource ref="A1:L1048576" sheet="ERP_Cleaned"/>
  </cacheSource>
  <cacheFields count="15">
    <cacheField name="RAW_PO_NUMBER" numFmtId="0">
      <sharedItems containsBlank="1"/>
    </cacheField>
    <cacheField name="TRANSACTION_DATE" numFmtId="0">
      <sharedItems containsNonDate="0" containsDate="1" containsString="0" containsBlank="1" minDate="2023-01-05T00:00:00" maxDate="2025-12-30T00:00:00" count="480">
        <d v="2025-10-02T00:00:00"/>
        <d v="2025-09-08T00:00:00"/>
        <d v="2025-10-24T00:00:00"/>
        <d v="2025-10-16T00:00:00"/>
        <d v="2023-05-23T00:00:00"/>
        <d v="2023-02-11T00:00:00"/>
        <d v="2023-07-10T00:00:00"/>
        <d v="2024-06-24T00:00:00"/>
        <d v="2023-03-19T00:00:00"/>
        <d v="2024-05-30T00:00:00"/>
        <d v="2025-02-11T00:00:00"/>
        <d v="2025-04-20T00:00:00"/>
        <d v="2023-01-05T00:00:00"/>
        <d v="2024-12-14T00:00:00"/>
        <d v="2023-01-24T00:00:00"/>
        <d v="2024-10-27T00:00:00"/>
        <d v="2025-02-23T00:00:00"/>
        <d v="2024-01-23T00:00:00"/>
        <d v="2024-01-16T00:00:00"/>
        <d v="2025-04-13T00:00:00"/>
        <d v="2024-06-10T00:00:00"/>
        <d v="2025-06-21T00:00:00"/>
        <d v="2023-10-22T00:00:00"/>
        <d v="2023-06-11T00:00:00"/>
        <d v="2023-10-03T00:00:00"/>
        <d v="2025-12-02T00:00:00"/>
        <d v="2024-05-03T00:00:00"/>
        <d v="2025-02-20T00:00:00"/>
        <d v="2025-12-03T00:00:00"/>
        <d v="2024-06-21T00:00:00"/>
        <d v="2023-08-25T00:00:00"/>
        <d v="2025-09-13T00:00:00"/>
        <d v="2023-05-27T00:00:00"/>
        <d v="2025-03-15T00:00:00"/>
        <d v="2024-05-02T00:00:00"/>
        <d v="2023-12-26T00:00:00"/>
        <d v="2023-01-11T00:00:00"/>
        <d v="2024-09-01T00:00:00"/>
        <d v="2024-08-26T00:00:00"/>
        <d v="2024-03-16T00:00:00"/>
        <d v="2025-03-25T00:00:00"/>
        <d v="2023-05-16T00:00:00"/>
        <d v="2025-05-17T00:00:00"/>
        <d v="2023-07-21T00:00:00"/>
        <d v="2023-10-18T00:00:00"/>
        <d v="2025-06-23T00:00:00"/>
        <d v="2025-05-31T00:00:00"/>
        <d v="2024-11-08T00:00:00"/>
        <d v="2025-01-21T00:00:00"/>
        <d v="2024-08-10T00:00:00"/>
        <d v="2023-07-13T00:00:00"/>
        <d v="2023-07-31T00:00:00"/>
        <d v="2024-02-03T00:00:00"/>
        <d v="2024-12-07T00:00:00"/>
        <d v="2024-09-20T00:00:00"/>
        <d v="2024-08-19T00:00:00"/>
        <d v="2024-10-14T00:00:00"/>
        <d v="2025-09-27T00:00:00"/>
        <d v="2025-04-04T00:00:00"/>
        <d v="2023-01-19T00:00:00"/>
        <d v="2024-08-17T00:00:00"/>
        <d v="2024-10-05T00:00:00"/>
        <d v="2024-10-12T00:00:00"/>
        <d v="2025-04-07T00:00:00"/>
        <d v="2023-09-26T00:00:00"/>
        <d v="2023-11-16T00:00:00"/>
        <d v="2025-12-19T00:00:00"/>
        <d v="2023-06-14T00:00:00"/>
        <d v="2024-05-16T00:00:00"/>
        <d v="2024-11-25T00:00:00"/>
        <d v="2024-01-25T00:00:00"/>
        <d v="2023-10-05T00:00:00"/>
        <d v="2023-12-23T00:00:00"/>
        <d v="2023-09-03T00:00:00"/>
        <d v="2025-08-21T00:00:00"/>
        <d v="2023-12-25T00:00:00"/>
        <d v="2025-01-11T00:00:00"/>
        <d v="2025-04-12T00:00:00"/>
        <d v="2024-12-19T00:00:00"/>
        <d v="2024-05-28T00:00:00"/>
        <d v="2023-12-17T00:00:00"/>
        <d v="2024-07-19T00:00:00"/>
        <d v="2025-01-16T00:00:00"/>
        <d v="2023-04-02T00:00:00"/>
        <d v="2025-11-09T00:00:00"/>
        <d v="2025-03-18T00:00:00"/>
        <d v="2025-06-03T00:00:00"/>
        <d v="2023-09-01T00:00:00"/>
        <d v="2023-07-19T00:00:00"/>
        <d v="2023-10-02T00:00:00"/>
        <d v="2024-10-30T00:00:00"/>
        <d v="2025-02-14T00:00:00"/>
        <d v="2023-02-17T00:00:00"/>
        <d v="2025-10-12T00:00:00"/>
        <d v="2024-07-03T00:00:00"/>
        <d v="2024-02-13T00:00:00"/>
        <d v="2024-12-23T00:00:00"/>
        <d v="2024-02-25T00:00:00"/>
        <d v="2023-12-13T00:00:00"/>
        <d v="2025-01-09T00:00:00"/>
        <d v="2025-11-12T00:00:00"/>
        <d v="2025-07-09T00:00:00"/>
        <d v="2024-12-03T00:00:00"/>
        <d v="2024-11-28T00:00:00"/>
        <d v="2024-10-16T00:00:00"/>
        <d v="2025-04-26T00:00:00"/>
        <d v="2025-08-27T00:00:00"/>
        <d v="2023-03-15T00:00:00"/>
        <d v="2023-09-27T00:00:00"/>
        <d v="2023-09-02T00:00:00"/>
        <d v="2023-06-29T00:00:00"/>
        <d v="2025-10-29T00:00:00"/>
        <d v="2025-07-29T00:00:00"/>
        <d v="2023-09-04T00:00:00"/>
        <d v="2025-02-04T00:00:00"/>
        <d v="2023-03-24T00:00:00"/>
        <d v="2023-07-23T00:00:00"/>
        <d v="2025-08-16T00:00:00"/>
        <d v="2025-10-11T00:00:00"/>
        <d v="2023-08-06T00:00:00"/>
        <d v="2025-10-31T00:00:00"/>
        <d v="2023-09-19T00:00:00"/>
        <d v="2025-06-16T00:00:00"/>
        <d v="2025-09-18T00:00:00"/>
        <d v="2024-10-29T00:00:00"/>
        <d v="2025-04-18T00:00:00"/>
        <d v="2023-07-24T00:00:00"/>
        <d v="2024-05-15T00:00:00"/>
        <d v="2024-04-14T00:00:00"/>
        <d v="2023-03-11T00:00:00"/>
        <d v="2023-08-18T00:00:00"/>
        <d v="2023-01-25T00:00:00"/>
        <d v="2024-05-17T00:00:00"/>
        <d v="2023-07-22T00:00:00"/>
        <d v="2023-09-20T00:00:00"/>
        <d v="2024-05-22T00:00:00"/>
        <d v="2024-07-10T00:00:00"/>
        <d v="2023-02-25T00:00:00"/>
        <d v="2023-09-30T00:00:00"/>
        <d v="2024-10-03T00:00:00"/>
        <d v="2023-09-29T00:00:00"/>
        <d v="2024-09-06T00:00:00"/>
        <d v="2025-11-05T00:00:00"/>
        <d v="2023-02-22T00:00:00"/>
        <d v="2023-11-15T00:00:00"/>
        <d v="2025-03-02T00:00:00"/>
        <d v="2024-07-31T00:00:00"/>
        <d v="2025-09-25T00:00:00"/>
        <d v="2025-11-27T00:00:00"/>
        <d v="2024-10-31T00:00:00"/>
        <d v="2023-05-11T00:00:00"/>
        <d v="2025-10-22T00:00:00"/>
        <d v="2023-06-24T00:00:00"/>
        <d v="2024-10-22T00:00:00"/>
        <d v="2023-11-27T00:00:00"/>
        <d v="2024-10-25T00:00:00"/>
        <d v="2024-08-30T00:00:00"/>
        <d v="2024-03-25T00:00:00"/>
        <d v="2024-12-31T00:00:00"/>
        <d v="2024-08-03T00:00:00"/>
        <d v="2025-02-22T00:00:00"/>
        <d v="2025-02-17T00:00:00"/>
        <d v="2024-12-15T00:00:00"/>
        <d v="2024-07-28T00:00:00"/>
        <d v="2024-09-19T00:00:00"/>
        <d v="2025-12-16T00:00:00"/>
        <d v="2024-01-13T00:00:00"/>
        <d v="2023-11-03T00:00:00"/>
        <d v="2024-06-13T00:00:00"/>
        <d v="2025-05-20T00:00:00"/>
        <d v="2025-12-29T00:00:00"/>
        <d v="2025-09-10T00:00:00"/>
        <d v="2023-03-12T00:00:00"/>
        <d v="2025-08-17T00:00:00"/>
        <d v="2024-12-05T00:00:00"/>
        <d v="2024-06-14T00:00:00"/>
        <d v="2024-04-03T00:00:00"/>
        <d v="2025-01-30T00:00:00"/>
        <d v="2025-07-02T00:00:00"/>
        <d v="2023-07-02T00:00:00"/>
        <d v="2024-04-27T00:00:00"/>
        <d v="2024-01-17T00:00:00"/>
        <d v="2025-07-15T00:00:00"/>
        <d v="2025-06-18T00:00:00"/>
        <d v="2025-07-26T00:00:00"/>
        <d v="2023-10-19T00:00:00"/>
        <d v="2023-04-17T00:00:00"/>
        <d v="2023-03-17T00:00:00"/>
        <d v="2024-04-23T00:00:00"/>
        <d v="2025-08-23T00:00:00"/>
        <d v="2024-01-18T00:00:00"/>
        <d v="2023-05-03T00:00:00"/>
        <d v="2024-11-12T00:00:00"/>
        <d v="2025-06-06T00:00:00"/>
        <d v="2024-04-11T00:00:00"/>
        <d v="2024-03-11T00:00:00"/>
        <d v="2023-04-22T00:00:00"/>
        <d v="2025-03-24T00:00:00"/>
        <d v="2023-06-30T00:00:00"/>
        <d v="2025-01-14T00:00:00"/>
        <d v="2025-11-26T00:00:00"/>
        <d v="2023-08-20T00:00:00"/>
        <d v="2025-05-12T00:00:00"/>
        <d v="2024-12-12T00:00:00"/>
        <d v="2023-10-15T00:00:00"/>
        <d v="2023-02-26T00:00:00"/>
        <d v="2023-08-10T00:00:00"/>
        <d v="2023-02-09T00:00:00"/>
        <d v="2024-02-07T00:00:00"/>
        <d v="2025-06-29T00:00:00"/>
        <d v="2024-07-07T00:00:00"/>
        <d v="2025-09-06T00:00:00"/>
        <d v="2023-08-01T00:00:00"/>
        <d v="2023-10-16T00:00:00"/>
        <d v="2025-12-12T00:00:00"/>
        <d v="2024-04-13T00:00:00"/>
        <d v="2025-01-27T00:00:00"/>
        <d v="2023-01-12T00:00:00"/>
        <d v="2024-12-28T00:00:00"/>
        <d v="2023-06-08T00:00:00"/>
        <d v="2023-04-18T00:00:00"/>
        <d v="2025-04-05T00:00:00"/>
        <d v="2023-09-15T00:00:00"/>
        <d v="2024-08-28T00:00:00"/>
        <d v="2025-04-28T00:00:00"/>
        <d v="2024-11-02T00:00:00"/>
        <d v="2024-06-19T00:00:00"/>
        <d v="2024-08-07T00:00:00"/>
        <d v="2025-09-05T00:00:00"/>
        <d v="2024-04-20T00:00:00"/>
        <d v="2024-02-29T00:00:00"/>
        <d v="2023-03-09T00:00:00"/>
        <d v="2023-03-01T00:00:00"/>
        <d v="2024-06-16T00:00:00"/>
        <d v="2023-08-08T00:00:00"/>
        <d v="2025-05-04T00:00:00"/>
        <d v="2024-11-16T00:00:00"/>
        <d v="2024-12-06T00:00:00"/>
        <d v="2025-07-12T00:00:00"/>
        <d v="2024-08-29T00:00:00"/>
        <d v="2024-07-27T00:00:00"/>
        <d v="2024-04-08T00:00:00"/>
        <d v="2023-03-02T00:00:00"/>
        <d v="2023-10-17T00:00:00"/>
        <d v="2024-04-18T00:00:00"/>
        <d v="2025-07-22T00:00:00"/>
        <d v="2025-11-24T00:00:00"/>
        <d v="2023-02-10T00:00:00"/>
        <d v="2023-05-22T00:00:00"/>
        <d v="2025-06-26T00:00:00"/>
        <d v="2025-08-03T00:00:00"/>
        <d v="2023-08-11T00:00:00"/>
        <d v="2024-09-13T00:00:00"/>
        <d v="2023-07-28T00:00:00"/>
        <d v="2024-01-05T00:00:00"/>
        <d v="2023-06-20T00:00:00"/>
        <d v="2024-09-28T00:00:00"/>
        <d v="2024-10-20T00:00:00"/>
        <d v="2024-07-22T00:00:00"/>
        <d v="2024-01-07T00:00:00"/>
        <d v="2024-08-15T00:00:00"/>
        <d v="2024-12-18T00:00:00"/>
        <d v="2023-06-02T00:00:00"/>
        <d v="2025-04-08T00:00:00"/>
        <d v="2024-04-06T00:00:00"/>
        <d v="2024-11-29T00:00:00"/>
        <d v="2024-05-12T00:00:00"/>
        <d v="2025-09-07T00:00:00"/>
        <d v="2025-12-09T00:00:00"/>
        <d v="2024-12-13T00:00:00"/>
        <d v="2024-10-26T00:00:00"/>
        <d v="2024-12-25T00:00:00"/>
        <d v="2024-03-18T00:00:00"/>
        <d v="2025-03-01T00:00:00"/>
        <d v="2023-11-07T00:00:00"/>
        <d v="2024-08-08T00:00:00"/>
        <d v="2025-11-13T00:00:00"/>
        <d v="2025-12-08T00:00:00"/>
        <d v="2024-10-11T00:00:00"/>
        <d v="2025-08-28T00:00:00"/>
        <d v="2024-02-10T00:00:00"/>
        <d v="2024-08-04T00:00:00"/>
        <d v="2023-02-12T00:00:00"/>
        <d v="2024-02-04T00:00:00"/>
        <d v="2024-03-30T00:00:00"/>
        <d v="2025-02-09T00:00:00"/>
        <d v="2023-03-08T00:00:00"/>
        <d v="2024-04-22T00:00:00"/>
        <d v="2023-06-25T00:00:00"/>
        <d v="2023-09-21T00:00:00"/>
        <d v="2025-12-18T00:00:00"/>
        <d v="2024-10-18T00:00:00"/>
        <d v="2025-03-11T00:00:00"/>
        <d v="2025-06-14T00:00:00"/>
        <d v="2024-03-19T00:00:00"/>
        <d v="2024-02-22T00:00:00"/>
        <d v="2023-09-12T00:00:00"/>
        <d v="2025-03-10T00:00:00"/>
        <d v="2024-08-13T00:00:00"/>
        <d v="2023-09-13T00:00:00"/>
        <d v="2025-12-05T00:00:00"/>
        <d v="2025-06-30T00:00:00"/>
        <d v="2024-07-11T00:00:00"/>
        <d v="2024-01-12T00:00:00"/>
        <d v="2025-01-13T00:00:00"/>
        <d v="2023-12-07T00:00:00"/>
        <d v="2025-06-11T00:00:00"/>
        <d v="2023-08-23T00:00:00"/>
        <d v="2025-08-05T00:00:00"/>
        <d v="2024-09-17T00:00:00"/>
        <d v="2024-06-20T00:00:00"/>
        <d v="2023-01-27T00:00:00"/>
        <d v="2024-05-01T00:00:00"/>
        <d v="2024-05-05T00:00:00"/>
        <d v="2023-11-30T00:00:00"/>
        <d v="2023-04-27T00:00:00"/>
        <d v="2024-11-20T00:00:00"/>
        <d v="2025-03-23T00:00:00"/>
        <d v="2023-06-10T00:00:00"/>
        <d v="2023-02-05T00:00:00"/>
        <d v="2023-05-12T00:00:00"/>
        <d v="2024-09-10T00:00:00"/>
        <d v="2023-05-17T00:00:00"/>
        <d v="2024-01-24T00:00:00"/>
        <d v="2023-01-16T00:00:00"/>
        <d v="2023-05-04T00:00:00"/>
        <d v="2023-10-08T00:00:00"/>
        <d v="2025-10-04T00:00:00"/>
        <d v="2024-11-13T00:00:00"/>
        <d v="2024-03-03T00:00:00"/>
        <d v="2023-12-29T00:00:00"/>
        <d v="2025-03-06T00:00:00"/>
        <d v="2024-08-11T00:00:00"/>
        <d v="2025-05-23T00:00:00"/>
        <d v="2023-06-21T00:00:00"/>
        <d v="2023-08-03T00:00:00"/>
        <d v="2024-07-16T00:00:00"/>
        <d v="2023-08-15T00:00:00"/>
        <d v="2023-12-11T00:00:00"/>
        <d v="2025-05-22T00:00:00"/>
        <d v="2023-07-14T00:00:00"/>
        <d v="2025-11-14T00:00:00"/>
        <d v="2025-05-15T00:00:00"/>
        <d v="2023-01-08T00:00:00"/>
        <d v="2023-01-10T00:00:00"/>
        <d v="2025-04-27T00:00:00"/>
        <d v="2023-05-08T00:00:00"/>
        <d v="2024-01-19T00:00:00"/>
        <d v="2024-07-15T00:00:00"/>
        <d v="2023-05-26T00:00:00"/>
        <d v="2024-10-23T00:00:00"/>
        <d v="2024-01-26T00:00:00"/>
        <d v="2024-02-26T00:00:00"/>
        <d v="2025-05-01T00:00:00"/>
        <d v="2023-11-10T00:00:00"/>
        <d v="2025-09-28T00:00:00"/>
        <d v="2024-09-30T00:00:00"/>
        <d v="2024-12-02T00:00:00"/>
        <d v="2023-12-14T00:00:00"/>
        <d v="2024-09-08T00:00:00"/>
        <d v="2024-04-30T00:00:00"/>
        <d v="2025-02-15T00:00:00"/>
        <d v="2024-12-22T00:00:00"/>
        <d v="2023-02-28T00:00:00"/>
        <d v="2024-02-23T00:00:00"/>
        <d v="2025-07-08T00:00:00"/>
        <d v="2025-03-27T00:00:00"/>
        <d v="2025-07-31T00:00:00"/>
        <d v="2024-09-29T00:00:00"/>
        <d v="2025-01-18T00:00:00"/>
        <d v="2025-09-03T00:00:00"/>
        <d v="2025-08-26T00:00:00"/>
        <d v="2025-07-06T00:00:00"/>
        <d v="2025-02-19T00:00:00"/>
        <d v="2025-07-07T00:00:00"/>
        <d v="2024-08-27T00:00:00"/>
        <d v="2023-07-27T00:00:00"/>
        <d v="2025-04-17T00:00:00"/>
        <d v="2024-04-17T00:00:00"/>
        <d v="2023-10-27T00:00:00"/>
        <d v="2024-06-22T00:00:00"/>
        <d v="2023-04-26T00:00:00"/>
        <d v="2024-08-21T00:00:00"/>
        <d v="2024-09-16T00:00:00"/>
        <d v="2025-05-10T00:00:00"/>
        <d v="2024-12-09T00:00:00"/>
        <d v="2024-11-30T00:00:00"/>
        <d v="2023-07-09T00:00:00"/>
        <d v="2023-02-15T00:00:00"/>
        <d v="2025-06-02T00:00:00"/>
        <d v="2025-11-15T00:00:00"/>
        <d v="2024-11-21T00:00:00"/>
        <d v="2024-06-06T00:00:00"/>
        <d v="2025-05-14T00:00:00"/>
        <d v="2023-04-21T00:00:00"/>
        <d v="2024-01-08T00:00:00"/>
        <d v="2024-05-13T00:00:00"/>
        <d v="2023-10-31T00:00:00"/>
        <d v="2023-08-05T00:00:00"/>
        <d v="2023-10-24T00:00:00"/>
        <d v="2025-01-28T00:00:00"/>
        <d v="2023-06-09T00:00:00"/>
        <d v="2023-01-17T00:00:00"/>
        <d v="2023-02-06T00:00:00"/>
        <d v="2025-04-03T00:00:00"/>
        <d v="2025-08-02T00:00:00"/>
        <d v="2025-11-16T00:00:00"/>
        <d v="2025-06-05T00:00:00"/>
        <d v="2025-03-16T00:00:00"/>
        <d v="2023-06-03T00:00:00"/>
        <d v="2024-04-05T00:00:00"/>
        <d v="2023-12-19T00:00:00"/>
        <d v="2024-05-10T00:00:00"/>
        <d v="2025-05-30T00:00:00"/>
        <d v="2025-05-05T00:00:00"/>
        <d v="2025-03-12T00:00:00"/>
        <d v="2024-05-06T00:00:00"/>
        <d v="2025-12-20T00:00:00"/>
        <d v="2024-03-26T00:00:00"/>
        <d v="2023-12-12T00:00:00"/>
        <d v="2024-05-20T00:00:00"/>
        <d v="2023-06-23T00:00:00"/>
        <d v="2024-02-09T00:00:00"/>
        <d v="2024-08-18T00:00:00"/>
        <d v="2025-12-13T00:00:00"/>
        <d v="2025-12-25T00:00:00"/>
        <d v="2024-01-20T00:00:00"/>
        <d v="2023-12-10T00:00:00"/>
        <d v="2024-05-26T00:00:00"/>
        <d v="2023-03-07T00:00:00"/>
        <d v="2023-02-07T00:00:00"/>
        <d v="2025-05-16T00:00:00"/>
        <d v="2023-12-30T00:00:00"/>
        <d v="2023-03-18T00:00:00"/>
        <d v="2024-12-11T00:00:00"/>
        <d v="2023-03-27T00:00:00"/>
        <d v="2025-08-13T00:00:00"/>
        <d v="2024-06-04T00:00:00"/>
        <d v="2025-05-19T00:00:00"/>
        <d v="2023-09-22T00:00:00"/>
        <d v="2023-11-19T00:00:00"/>
        <d v="2025-09-30T00:00:00"/>
        <d v="2024-07-08T00:00:00"/>
        <d v="2024-11-05T00:00:00"/>
        <d v="2023-11-12T00:00:00"/>
        <d v="2024-06-18T00:00:00"/>
        <d v="2025-10-08T00:00:00"/>
        <d v="2024-11-22T00:00:00"/>
        <d v="2023-02-04T00:00:00"/>
        <d v="2024-06-11T00:00:00"/>
        <d v="2025-11-23T00:00:00"/>
        <d v="2023-12-28T00:00:00"/>
        <d v="2024-01-15T00:00:00"/>
        <d v="2024-12-24T00:00:00"/>
        <d v="2024-11-06T00:00:00"/>
        <d v="2024-06-12T00:00:00"/>
        <d v="2025-04-06T00:00:00"/>
        <d v="2025-10-09T00:00:00"/>
        <d v="2023-11-13T00:00:00"/>
        <d v="2025-03-05T00:00:00"/>
        <d v="2023-06-28T00:00:00"/>
        <d v="2023-12-31T00:00:00"/>
        <d v="2025-02-18T00:00:00"/>
        <d v="2023-10-12T00:00:00"/>
        <d v="2025-10-05T00:00:00"/>
        <d v="2024-02-17T00:00:00"/>
        <d v="2024-01-28T00:00:00"/>
        <d v="2025-04-10T00:00:00"/>
        <d v="2023-03-25T00:00:00"/>
        <d v="2023-03-16T00:00:00"/>
        <d v="2025-07-05T00:00:00"/>
        <d v="2023-06-18T00:00:00"/>
        <d v="2025-08-14T00:00:00"/>
        <d v="2025-09-19T00:00:00"/>
        <d v="2025-08-30T00:00:00"/>
        <d v="2024-05-21T00:00:00"/>
        <d v="2023-05-20T00:00:00"/>
        <d v="2023-03-30T00:00:00"/>
        <d v="2024-01-06T00:00:00"/>
        <m/>
      </sharedItems>
      <fieldGroup par="14"/>
    </cacheField>
    <cacheField name="DEPARTMENT_NAME" numFmtId="0">
      <sharedItems containsBlank="1" count="6">
        <s v="Facilities &amp; Ops"/>
        <s v="IT Operations"/>
        <s v="Marketing &amp; Sales"/>
        <s v="Unassigned"/>
        <s v="HR &amp; Admin"/>
        <m/>
      </sharedItems>
    </cacheField>
    <cacheField name="EXPENSE_CATEGORY" numFmtId="0">
      <sharedItems containsBlank="1"/>
    </cacheField>
    <cacheField name="VENDOR_NAME" numFmtId="0">
      <sharedItems containsBlank="1"/>
    </cacheField>
    <cacheField name="RAW_AMOUNT" numFmtId="0">
      <sharedItems containsString="0" containsBlank="1" containsNumber="1" minValue="6090.8" maxValue="357000.42"/>
    </cacheField>
    <cacheField name="GL_CODE" numFmtId="0">
      <sharedItems containsBlank="1"/>
    </cacheField>
    <cacheField name="TAX_RATE" numFmtId="0">
      <sharedItems containsBlank="1"/>
    </cacheField>
    <cacheField name="APPROVAL_STATUS" numFmtId="0">
      <sharedItems containsBlank="1"/>
    </cacheField>
    <cacheField name="INVOICE_REF" numFmtId="0">
      <sharedItems containsBlank="1"/>
    </cacheField>
    <cacheField name="SYSTEM_COMMENTS" numFmtId="0">
      <sharedItems containsBlank="1"/>
    </cacheField>
    <cacheField name="Field12" caption="Field12" numFmtId="0">
      <sharedItems containsNonDate="0" containsString="0" containsBlank="1"/>
    </cacheField>
    <cacheField name="Months (TRANSACTION_DATE)" numFmtId="0" databaseField="0">
      <fieldGroup base="1">
        <rangePr groupBy="months" startDate="2023-01-05T00:00:00" endDate="2025-12-30T00:00:00"/>
        <groupItems count="14">
          <s v="&lt;05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5"/>
        </groupItems>
      </fieldGroup>
    </cacheField>
    <cacheField name="Quarters (TRANSACTION_DATE)" numFmtId="0" databaseField="0">
      <fieldGroup base="1">
        <rangePr groupBy="quarters" startDate="2023-01-05T00:00:00" endDate="2025-12-30T00:00:00"/>
        <groupItems count="6">
          <s v="&lt;05/01/2023"/>
          <s v="Qtr1"/>
          <s v="Qtr2"/>
          <s v="Qtr3"/>
          <s v="Qtr4"/>
          <s v="&gt;30/12/2025"/>
        </groupItems>
      </fieldGroup>
    </cacheField>
    <cacheField name="Years (TRANSACTION_DATE)" numFmtId="0" databaseField="0">
      <fieldGroup base="1">
        <rangePr groupBy="years" startDate="2023-01-05T00:00:00" endDate="2025-12-30T00:00:00"/>
        <groupItems count="5">
          <s v="&lt;05/01/2023"/>
          <s v="2023"/>
          <s v="2024"/>
          <s v="2025"/>
          <s v="&gt;30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PO-2024-2002"/>
    <x v="0"/>
    <x v="0"/>
    <s v="Travel &amp; Entertainment"/>
    <s v="Prime Space Realty"/>
    <n v="115160.76"/>
    <s v="GL-500100"/>
    <s v="12%"/>
    <s v="APPROVED"/>
    <m/>
    <s v="System Auto-Generated"/>
    <m/>
  </r>
  <r>
    <s v="PO-2024-2006"/>
    <x v="1"/>
    <x v="1"/>
    <s v="Office Supplies"/>
    <s v="CloudSaaS Corp"/>
    <n v="186051.69"/>
    <s v="GL-500100"/>
    <s v="12%"/>
    <s v="APPROVED"/>
    <s v="INV-5166"/>
    <s v="System Auto-Generated"/>
    <m/>
  </r>
  <r>
    <s v="PO-2024-2008"/>
    <x v="2"/>
    <x v="2"/>
    <s v="Digital Advertising"/>
    <s v="PaperCorp Supplies"/>
    <n v="113149.23"/>
    <s v="GL-500200"/>
    <s v="12%"/>
    <s v="APPROVED"/>
    <s v="INV-8892"/>
    <s v="   Urgent operational requirement!   "/>
    <m/>
  </r>
  <r>
    <s v="PO-2024-2016"/>
    <x v="3"/>
    <x v="0"/>
    <s v="Office Supplies"/>
    <s v="Prime Space Realty"/>
    <n v="206325.42"/>
    <s v="GL-500100"/>
    <s v="12%"/>
    <s v="APPROVED"/>
    <s v="INV-8900"/>
    <s v="System Auto-Generated"/>
    <m/>
  </r>
  <r>
    <s v="PO-2024-2017"/>
    <x v="4"/>
    <x v="1"/>
    <s v="Digital Advertising"/>
    <s v="CloudSaaS Corp"/>
    <n v="57783.360000000001"/>
    <s v="GL-500100"/>
    <s v="0%"/>
    <s v="APPROVED"/>
    <s v="INV-5544"/>
    <s v="System Auto-Generated"/>
    <m/>
  </r>
  <r>
    <s v="PO-2024-2018"/>
    <x v="5"/>
    <x v="2"/>
    <s v="Office Rent"/>
    <s v="Prime Space Realty"/>
    <n v="51244.28"/>
    <s v="GL-600300"/>
    <s v="12%"/>
    <s v="APPROVED"/>
    <s v="INV-7194"/>
    <s v="   Urgent operational requirement!   "/>
    <m/>
  </r>
  <r>
    <s v="   "/>
    <x v="6"/>
    <x v="0"/>
    <s v="Office Rent"/>
    <s v="GlobalMedia Ads"/>
    <n v="92128.53"/>
    <s v="GL-600300"/>
    <s v="12%"/>
    <s v="APPROVED"/>
    <s v="INV-8603"/>
    <s v="System Auto-Generated"/>
    <m/>
  </r>
  <r>
    <s v="PO-2024-2023"/>
    <x v="7"/>
    <x v="1"/>
    <s v="Digital Advertising"/>
    <s v="TechDistributors Inc"/>
    <n v="36320.019999999997"/>
    <s v="GL-500100"/>
    <s v="12%"/>
    <s v="APPROVED"/>
    <m/>
    <s v="System Auto-Generated"/>
    <m/>
  </r>
  <r>
    <s v="PO-2024-2026"/>
    <x v="8"/>
    <x v="0"/>
    <s v="Cloud Infrastructure"/>
    <s v="Prime Space Realty"/>
    <n v="50577.43"/>
    <s v="GL-500200"/>
    <s v="12%"/>
    <s v="APPROVED"/>
    <s v="INV-9582"/>
    <s v="System Auto-Generated"/>
    <m/>
  </r>
  <r>
    <s v="PO-2024-2027"/>
    <x v="9"/>
    <x v="0"/>
    <s v="Cloud Infrastructure"/>
    <s v="GlobalMedia Ads"/>
    <n v="17764.09"/>
    <s v="GL-600300"/>
    <s v="12%"/>
    <s v="APPROVED"/>
    <s v="INV-9956"/>
    <s v="System Auto-Generated"/>
    <m/>
  </r>
  <r>
    <s v="PO-2024-2030"/>
    <x v="10"/>
    <x v="2"/>
    <s v="Travel &amp; Entertainment"/>
    <s v="PaperCorp Supplies"/>
    <n v="170659.31"/>
    <s v="GL-500100"/>
    <s v="12%"/>
    <s v="APPROVED"/>
    <s v="INV-9601"/>
    <s v="System Auto-Generated"/>
    <m/>
  </r>
  <r>
    <s v="PO-2024-2035"/>
    <x v="11"/>
    <x v="2"/>
    <s v="Digital Advertising"/>
    <s v="CloudSaaS Corporation"/>
    <n v="242782.85"/>
    <s v="GL-600300"/>
    <s v="12%"/>
    <s v="APPROVED"/>
    <m/>
    <s v="System Auto-Generated"/>
    <m/>
  </r>
  <r>
    <s v="PO-2024-2040"/>
    <x v="12"/>
    <x v="0"/>
    <s v="Cloud Infrastructure"/>
    <s v="CloudSaaS Corp"/>
    <n v="83487.25"/>
    <s v="GL-500100"/>
    <s v="12%"/>
    <s v="APPROVED"/>
    <s v="INV-7969"/>
    <s v="   Urgent operational requirement!   "/>
    <m/>
  </r>
  <r>
    <s v="PO-2024-2044"/>
    <x v="13"/>
    <x v="0"/>
    <s v="Travel &amp; Entertainment"/>
    <s v="GlobalMedia Ads"/>
    <n v="134858"/>
    <s v="GL-600300"/>
    <s v="12%"/>
    <s v="APPROVED"/>
    <s v="INV-5045"/>
    <s v="System Auto-Generated"/>
    <m/>
  </r>
  <r>
    <s v="PO-2024-2050"/>
    <x v="14"/>
    <x v="3"/>
    <s v="Hardware Procurement"/>
    <s v="GlobalMedia Ads"/>
    <n v="214019.64"/>
    <s v="GL-500200"/>
    <s v="12%"/>
    <s v="APPROVED"/>
    <m/>
    <s v="System Auto-Generated"/>
    <m/>
  </r>
  <r>
    <s v="PO-2024-2055"/>
    <x v="15"/>
    <x v="0"/>
    <s v="Cloud Infrastructure"/>
    <s v="GlobalMedia Ads"/>
    <n v="88319.3"/>
    <s v="GL-500100"/>
    <s v="12%"/>
    <s v="APPROVED"/>
    <s v="INV-8325"/>
    <s v="System Auto-Generated"/>
    <m/>
  </r>
  <r>
    <s v="PO-2024-2056"/>
    <x v="16"/>
    <x v="2"/>
    <s v="Software Licenses"/>
    <s v="Prime Space Realty"/>
    <n v="250076.66"/>
    <s v="GL-500100"/>
    <s v="12%"/>
    <s v="APPROVED"/>
    <s v="INV-5036"/>
    <s v="System Auto-Generated"/>
    <m/>
  </r>
  <r>
    <s v="PO-2024-2058"/>
    <x v="17"/>
    <x v="2"/>
    <s v="Office Supplies"/>
    <s v="Prime Space Realty"/>
    <n v="168739.9"/>
    <s v="GL-500100"/>
    <s v="12%"/>
    <s v="APPROVED"/>
    <s v="INV-8693"/>
    <s v="System Auto-Generated"/>
    <m/>
  </r>
  <r>
    <s v="PO-2024-2060"/>
    <x v="18"/>
    <x v="2"/>
    <s v="Hardware Procurement"/>
    <s v="PaperCorp Supplies"/>
    <n v="153905"/>
    <s v="GL-500200"/>
    <s v="12%"/>
    <s v="APPROVED"/>
    <s v="INV-8446"/>
    <s v="System Auto-Generated"/>
    <m/>
  </r>
  <r>
    <s v="PO-2024-2061"/>
    <x v="19"/>
    <x v="2"/>
    <s v="Cloud Infrastructure"/>
    <s v="TechDistributors Inc"/>
    <n v="183744.55"/>
    <s v="GL-500100"/>
    <s v="12%"/>
    <s v="APPROVED"/>
    <s v="INV-9772"/>
    <s v="   Urgent operational requirement!   "/>
    <m/>
  </r>
  <r>
    <s v="PO-2024-2062"/>
    <x v="20"/>
    <x v="4"/>
    <s v="Travel &amp; Entertainment"/>
    <s v="CloudSaaS Corp"/>
    <n v="42533.69"/>
    <s v="GL-500100"/>
    <s v="12%"/>
    <s v="APPROVED"/>
    <s v="INV-5398"/>
    <s v="System Auto-Generated"/>
    <m/>
  </r>
  <r>
    <s v="PO-2024-2064"/>
    <x v="21"/>
    <x v="1"/>
    <s v="Office Supplies"/>
    <s v="PaperCorp Supplies"/>
    <n v="34540.36"/>
    <s v="GL-500100"/>
    <s v="12%"/>
    <s v="APPROVED"/>
    <s v="INV-9562"/>
    <s v="System Auto-Generated"/>
    <m/>
  </r>
  <r>
    <s v="PO-2024-2067"/>
    <x v="22"/>
    <x v="1"/>
    <s v="Hardware Procurement"/>
    <s v="GlobalMedia Ads"/>
    <n v="128124.55"/>
    <s v="GL-600300"/>
    <s v="12%"/>
    <s v="APPROVED"/>
    <s v="INV-6672"/>
    <s v="System Auto-Generated"/>
    <m/>
  </r>
  <r>
    <s v="PO-2024-2068"/>
    <x v="23"/>
    <x v="0"/>
    <s v="Digital Advertising"/>
    <s v="GlobalMedia Ads"/>
    <n v="121957.05"/>
    <s v="GL-600300"/>
    <s v="12%"/>
    <s v="APPROVED"/>
    <s v="INV-4659"/>
    <s v="System Auto-Generated"/>
    <m/>
  </r>
  <r>
    <s v="PO-2024-2070"/>
    <x v="24"/>
    <x v="1"/>
    <s v="Software Licenses"/>
    <s v="PaperCorp Supplies"/>
    <n v="29801.85"/>
    <s v="GL-600300"/>
    <s v="12%"/>
    <s v="APPROVED"/>
    <s v="INV-4582"/>
    <s v="System Auto-Generated"/>
    <m/>
  </r>
  <r>
    <s v="PO-2024-2071"/>
    <x v="25"/>
    <x v="1"/>
    <s v="Office Rent"/>
    <s v="GlobalMedia Ads"/>
    <n v="311092.01"/>
    <s v="GL-500200"/>
    <s v="12%"/>
    <s v="APPROVED"/>
    <s v="INV-9656"/>
    <s v="System Auto-Generated"/>
    <m/>
  </r>
  <r>
    <s v="PO-2024-2072"/>
    <x v="26"/>
    <x v="1"/>
    <s v="Travel &amp; Entertainment"/>
    <s v="GlobalMedia Ads"/>
    <n v="127541.66"/>
    <s v="GL-500200"/>
    <s v="12%"/>
    <s v="APPROVED"/>
    <s v="INV-8819"/>
    <s v="System Auto-Generated"/>
    <m/>
  </r>
  <r>
    <s v="PO-2024-2073"/>
    <x v="27"/>
    <x v="0"/>
    <s v="Office Supplies"/>
    <s v="CloudSaaS Corp"/>
    <n v="129658.16"/>
    <s v="GL-500100"/>
    <s v="12%"/>
    <s v="APPROVED"/>
    <s v="INV-6413"/>
    <s v="System Auto-Generated"/>
    <m/>
  </r>
  <r>
    <s v="PO-2024-2074"/>
    <x v="28"/>
    <x v="4"/>
    <s v="Cloud Infrastructure"/>
    <s v="PaperCorp Supplies"/>
    <n v="298392.90999999997"/>
    <s v="GL-600300"/>
    <s v="0%"/>
    <s v="APPROVED"/>
    <s v="INV-7018"/>
    <s v="System Auto-Generated"/>
    <m/>
  </r>
  <r>
    <s v="PO-2024-2076"/>
    <x v="29"/>
    <x v="0"/>
    <s v="Travel &amp; Entertainment"/>
    <s v="TechDistributors Inc"/>
    <n v="126727.01"/>
    <s v="GL-500200"/>
    <s v="0%"/>
    <s v="APPROVED"/>
    <m/>
    <s v="System Auto-Generated"/>
    <m/>
  </r>
  <r>
    <s v="PO-2024-2077"/>
    <x v="30"/>
    <x v="0"/>
    <s v="Office Supplies"/>
    <s v="CloudSaaS Corporation"/>
    <n v="80824.490000000005"/>
    <s v="GL-600300"/>
    <s v="12%"/>
    <s v="APPROVED"/>
    <s v="INV-5556"/>
    <s v="System Auto-Generated"/>
    <m/>
  </r>
  <r>
    <s v="PO-2024-2078"/>
    <x v="31"/>
    <x v="1"/>
    <s v="Cloud Infrastructure"/>
    <s v="CloudSaaS Corp"/>
    <n v="58524.65"/>
    <s v="GL-500100"/>
    <s v="12%"/>
    <s v="APPROVED"/>
    <s v="INV-7861"/>
    <s v="System Auto-Generated"/>
    <m/>
  </r>
  <r>
    <s v="PO-2024-2079"/>
    <x v="32"/>
    <x v="2"/>
    <s v="Office Rent"/>
    <s v="Prime Space Realty"/>
    <n v="40200.79"/>
    <s v="GL-600300"/>
    <s v="12%"/>
    <s v="APPROVED"/>
    <m/>
    <s v="System Auto-Generated"/>
    <m/>
  </r>
  <r>
    <s v="PO-2024-2080"/>
    <x v="33"/>
    <x v="0"/>
    <s v="Software Licenses"/>
    <s v="TechDistributors Inc"/>
    <n v="12518.53"/>
    <s v="GL-500200"/>
    <s v="12%"/>
    <s v="APPROVED"/>
    <s v="INV-5405"/>
    <s v="System Auto-Generated"/>
    <m/>
  </r>
  <r>
    <s v="PO-2024-2084"/>
    <x v="34"/>
    <x v="1"/>
    <s v="Digital Advertising"/>
    <s v="TechDistributors Inc"/>
    <n v="280488.2"/>
    <s v="GL-600300"/>
    <s v="12%"/>
    <s v="APPROVED"/>
    <s v="INV-4233"/>
    <s v="System Auto-Generated"/>
    <m/>
  </r>
  <r>
    <s v="PO-2024-2085"/>
    <x v="35"/>
    <x v="2"/>
    <s v="Digital Advertising"/>
    <s v="Prime Space Realty"/>
    <n v="33710.14"/>
    <s v="GL-600300"/>
    <s v="12%"/>
    <s v="APPROVED"/>
    <s v="INV-9424"/>
    <s v="System Auto-Generated"/>
    <m/>
  </r>
  <r>
    <s v="PO-2024-2087"/>
    <x v="36"/>
    <x v="0"/>
    <s v="Office Supplies"/>
    <s v="CloudSaaS Corp"/>
    <n v="24786.39"/>
    <s v="GL-500200"/>
    <s v="12%"/>
    <s v="APPROVED"/>
    <s v="INV-7594"/>
    <s v="System Auto-Generated"/>
    <m/>
  </r>
  <r>
    <s v="PO-2024-2088"/>
    <x v="37"/>
    <x v="4"/>
    <s v="Digital Advertising"/>
    <s v="Prime Space Realty"/>
    <n v="100068"/>
    <s v="GL-500200"/>
    <s v="12%"/>
    <s v="APPROVED"/>
    <s v="INV-5675"/>
    <s v="   Urgent operational requirement!   "/>
    <m/>
  </r>
  <r>
    <s v="PO-2024-2089"/>
    <x v="38"/>
    <x v="2"/>
    <s v="Travel &amp; Entertainment"/>
    <s v="PaperCorp Supplies"/>
    <n v="56772.71"/>
    <s v="GL-600300"/>
    <s v="12%"/>
    <s v="APPROVED"/>
    <s v="INV-5052"/>
    <s v="System Auto-Generated"/>
    <m/>
  </r>
  <r>
    <s v="PO-2024-2095"/>
    <x v="39"/>
    <x v="2"/>
    <s v="Digital Advertising"/>
    <s v="Prime Space Realty"/>
    <n v="96138.43"/>
    <s v="GL-500100"/>
    <s v="12%"/>
    <s v="APPROVED"/>
    <s v="INV-4831"/>
    <s v="System Auto-Generated"/>
    <m/>
  </r>
  <r>
    <s v="PO-2024-2096"/>
    <x v="40"/>
    <x v="1"/>
    <s v="Digital Advertising"/>
    <s v="Prime Space Realty"/>
    <n v="114483.44"/>
    <s v="GL-600300"/>
    <s v="12%"/>
    <s v="APPROVED"/>
    <s v="INV-4028"/>
    <s v="System Auto-Generated"/>
    <m/>
  </r>
  <r>
    <s v="PO-2024-2097"/>
    <x v="41"/>
    <x v="0"/>
    <s v="Cloud Infrastructure"/>
    <s v="TechDistributors Inc"/>
    <n v="103560.67"/>
    <s v="GL-500200"/>
    <s v="0%"/>
    <s v="APPROVED"/>
    <s v="INV-8542"/>
    <s v="System Auto-Generated"/>
    <m/>
  </r>
  <r>
    <s v="PO-2024-2099"/>
    <x v="42"/>
    <x v="0"/>
    <s v="Hardware Procurement"/>
    <s v="CloudSaaS Corp"/>
    <n v="9799.7000000000007"/>
    <s v="GL-500200"/>
    <s v="12%"/>
    <s v="APPROVED"/>
    <m/>
    <s v="System Auto-Generated"/>
    <m/>
  </r>
  <r>
    <s v="PO-2024-2100"/>
    <x v="43"/>
    <x v="3"/>
    <s v="Digital Advertising"/>
    <s v="TechDistributors Inc"/>
    <n v="96480.34"/>
    <s v="GL-500100"/>
    <s v="12%"/>
    <s v="APPROVED"/>
    <s v="INV-5383"/>
    <s v="System Auto-Generated"/>
    <m/>
  </r>
  <r>
    <s v="   "/>
    <x v="44"/>
    <x v="1"/>
    <s v="Office Supplies"/>
    <s v="GlobalMedia Ads"/>
    <n v="74694.259999999995"/>
    <s v="GL-500200"/>
    <s v="12%"/>
    <s v="APPROVED"/>
    <s v="INV-7362"/>
    <s v="System Auto-Generated"/>
    <m/>
  </r>
  <r>
    <s v="PO-2024-2104"/>
    <x v="45"/>
    <x v="2"/>
    <s v="Cloud Infrastructure"/>
    <s v="Prime Space Realty"/>
    <n v="82054.02"/>
    <s v="GL-500200"/>
    <s v="12%"/>
    <s v="APPROVED"/>
    <s v="INV-8873"/>
    <s v="   Urgent operational requirement!   "/>
    <m/>
  </r>
  <r>
    <s v="PO-2024-2106"/>
    <x v="46"/>
    <x v="0"/>
    <s v="Office Rent"/>
    <s v="PaperCorp Supplies"/>
    <n v="151054.99"/>
    <s v="GL-600300"/>
    <s v="12%"/>
    <s v="APPROVED"/>
    <s v="INV-6873"/>
    <s v="System Auto-Generated"/>
    <m/>
  </r>
  <r>
    <s v="PO-2024-2108"/>
    <x v="47"/>
    <x v="0"/>
    <s v="Cloud Infrastructure"/>
    <s v="PaperCorp Supplies"/>
    <n v="74311.539999999994"/>
    <s v="GL-600300"/>
    <s v="12%"/>
    <s v="APPROVED"/>
    <m/>
    <s v="   Urgent operational requirement!   "/>
    <m/>
  </r>
  <r>
    <s v="PO-2024-2109"/>
    <x v="48"/>
    <x v="0"/>
    <s v="Office Supplies"/>
    <s v="Prime Space Realty"/>
    <n v="118928.53"/>
    <s v="GL-600300"/>
    <s v="12%"/>
    <s v="APPROVED"/>
    <m/>
    <s v="System Auto-Generated"/>
    <m/>
  </r>
  <r>
    <s v="PO-2024-2111"/>
    <x v="49"/>
    <x v="0"/>
    <s v="Cloud Infrastructure"/>
    <s v="Prime Space Realty"/>
    <n v="162114.29"/>
    <s v="GL-500200"/>
    <s v="12%"/>
    <s v="APPROVED"/>
    <s v="INV-9239"/>
    <s v="System Auto-Generated"/>
    <m/>
  </r>
  <r>
    <s v="PO-2024-2113"/>
    <x v="50"/>
    <x v="0"/>
    <s v="Hardware Procurement"/>
    <s v="PaperCorp Supplies"/>
    <n v="45405.73"/>
    <s v="GL-600300"/>
    <s v="12%"/>
    <s v="APPROVED"/>
    <s v="INV-9650"/>
    <s v="   Urgent operational requirement!   "/>
    <m/>
  </r>
  <r>
    <s v="PO-2024-2114"/>
    <x v="51"/>
    <x v="2"/>
    <s v="Digital Advertising"/>
    <s v="PaperCorp Supplies"/>
    <n v="20644.86"/>
    <s v="GL-500200"/>
    <s v="12%"/>
    <s v="APPROVED"/>
    <s v="INV-6264"/>
    <s v="System Auto-Generated"/>
    <m/>
  </r>
  <r>
    <s v="PO-2024-2115"/>
    <x v="52"/>
    <x v="4"/>
    <s v="Cloud Infrastructure"/>
    <s v="CloudSaaS Corp"/>
    <n v="75152.009999999995"/>
    <s v="GL-600300"/>
    <s v="0%"/>
    <s v="APPROVED"/>
    <s v="INV-6848"/>
    <s v="System Auto-Generated"/>
    <m/>
  </r>
  <r>
    <s v="PO-2024-2118"/>
    <x v="53"/>
    <x v="0"/>
    <s v="Hardware Procurement"/>
    <s v="GlobalMedia Ads"/>
    <n v="155027.88"/>
    <s v="GL-500100"/>
    <s v="12%"/>
    <s v="APPROVED"/>
    <s v="INV-9846"/>
    <s v="System Auto-Generated"/>
    <m/>
  </r>
  <r>
    <s v="PO-2024-2119"/>
    <x v="54"/>
    <x v="1"/>
    <s v="Cloud Infrastructure"/>
    <s v="PaperCorp Supplies"/>
    <n v="26349"/>
    <s v="GL-500200"/>
    <s v="12%"/>
    <s v="APPROVED"/>
    <s v="INV-4387"/>
    <s v="System Auto-Generated"/>
    <m/>
  </r>
  <r>
    <s v="PO-2024-2120"/>
    <x v="55"/>
    <x v="0"/>
    <s v="Digital Advertising"/>
    <s v="CloudSaaS Corp"/>
    <n v="208702.47"/>
    <s v="GL-600300"/>
    <s v="12%"/>
    <s v="APPROVED"/>
    <s v="INV-4227"/>
    <s v="   Urgent operational requirement!   "/>
    <m/>
  </r>
  <r>
    <s v="PO-2024-2121"/>
    <x v="56"/>
    <x v="1"/>
    <s v="Cloud Infrastructure"/>
    <s v="Paper Corp"/>
    <n v="290788.09999999998"/>
    <s v="GL-500200"/>
    <s v="12%"/>
    <s v="APPROVED"/>
    <s v="INV-8717"/>
    <s v="   Urgent operational requirement!   "/>
    <m/>
  </r>
  <r>
    <s v="PO-2024-2122"/>
    <x v="57"/>
    <x v="2"/>
    <s v="Digital Advertising"/>
    <s v="CloudSaaS Corp"/>
    <n v="161329.22"/>
    <s v="GL-500200"/>
    <s v="12%"/>
    <s v="APPROVED"/>
    <s v="INV-9193"/>
    <s v="System Auto-Generated"/>
    <m/>
  </r>
  <r>
    <s v="PO-2024-2123"/>
    <x v="58"/>
    <x v="1"/>
    <s v="Travel &amp; Entertainment"/>
    <s v="CloudSaaS Corp"/>
    <n v="205143.55"/>
    <s v="GL-500100"/>
    <s v="12%"/>
    <s v="APPROVED"/>
    <m/>
    <s v="System Auto-Generated"/>
    <m/>
  </r>
  <r>
    <s v="PO-2024-2125"/>
    <x v="59"/>
    <x v="3"/>
    <s v="Software Licenses"/>
    <s v="Prime Space Realty"/>
    <n v="106518.82"/>
    <s v="GL-500100"/>
    <s v="12%"/>
    <s v="APPROVED"/>
    <s v="INV-6470"/>
    <s v="System Auto-Generated"/>
    <m/>
  </r>
  <r>
    <s v="PO-2024-2129"/>
    <x v="60"/>
    <x v="2"/>
    <s v="Software Licenses"/>
    <s v="CloudSaaS Corp"/>
    <n v="68677.67"/>
    <s v="GL-500200"/>
    <s v="12%"/>
    <s v="APPROVED"/>
    <s v="INV-8186"/>
    <s v="System Auto-Generated"/>
    <m/>
  </r>
  <r>
    <s v="PO-2024-2130"/>
    <x v="61"/>
    <x v="0"/>
    <s v="Software Licenses"/>
    <s v="CloudSaaS Corp"/>
    <m/>
    <s v="GL-500200"/>
    <s v="0%"/>
    <s v="APPROVED"/>
    <s v="INV-6667"/>
    <s v="System Auto-Generated"/>
    <m/>
  </r>
  <r>
    <s v="PO-2024-2131"/>
    <x v="62"/>
    <x v="2"/>
    <s v="Cloud Infrastructure"/>
    <s v="Prime Space Realty"/>
    <n v="161409.70000000001"/>
    <s v="GL-500100"/>
    <s v="12%"/>
    <s v="APPROVED"/>
    <s v="INV-7940"/>
    <s v="System Auto-Generated"/>
    <m/>
  </r>
  <r>
    <s v="PO-2024-2133"/>
    <x v="63"/>
    <x v="0"/>
    <s v="Office Supplies"/>
    <s v="CloudSaaS Corporation"/>
    <n v="189712.64000000001"/>
    <s v="GL-500100"/>
    <s v="0%"/>
    <s v="APPROVED"/>
    <m/>
    <s v="System Auto-Generated"/>
    <m/>
  </r>
  <r>
    <s v="PO-2024-2134"/>
    <x v="64"/>
    <x v="1"/>
    <s v="Software Licenses"/>
    <s v="PaperCorp Supplies"/>
    <n v="18866.32"/>
    <s v="GL-500100"/>
    <s v="12%"/>
    <s v="APPROVED"/>
    <m/>
    <s v="System Auto-Generated"/>
    <m/>
  </r>
  <r>
    <s v="PO-2024-2135"/>
    <x v="65"/>
    <x v="0"/>
    <s v="Hardware Procurement"/>
    <s v="Tech Distributors"/>
    <n v="12378.79"/>
    <s v="GL-500200"/>
    <s v="0%"/>
    <s v="APPROVED"/>
    <s v="INV-7911"/>
    <s v="System Auto-Generated"/>
    <m/>
  </r>
  <r>
    <s v="PO-2024-2136"/>
    <x v="66"/>
    <x v="2"/>
    <s v="Travel &amp; Entertainment"/>
    <s v="CloudSaaS Corp"/>
    <n v="309478.17"/>
    <s v="GL-600300"/>
    <s v="12%"/>
    <s v="APPROVED"/>
    <s v="INV-5952"/>
    <s v="System Auto-Generated"/>
    <m/>
  </r>
  <r>
    <s v="PO-2024-2137"/>
    <x v="67"/>
    <x v="1"/>
    <s v="Hardware Procurement"/>
    <s v="CloudSaaS Corp"/>
    <n v="71238.41"/>
    <s v="GL-500100"/>
    <s v="12%"/>
    <s v="APPROVED"/>
    <m/>
    <s v="System Auto-Generated"/>
    <m/>
  </r>
  <r>
    <s v="PO-2024-2139"/>
    <x v="68"/>
    <x v="1"/>
    <s v="Software Licenses"/>
    <s v="TechDistributors Inc"/>
    <n v="127485.8"/>
    <s v="GL-500100"/>
    <s v="12%"/>
    <s v="APPROVED"/>
    <s v="INV-7680"/>
    <s v="System Auto-Generated"/>
    <m/>
  </r>
  <r>
    <s v="PO-2024-2140"/>
    <x v="69"/>
    <x v="0"/>
    <s v="Digital Advertising"/>
    <s v="Prime Space Realty"/>
    <n v="172805.49"/>
    <s v="GL-600300"/>
    <s v="12%"/>
    <s v="APPROVED"/>
    <s v="INV-4553"/>
    <s v="   Urgent operational requirement!   "/>
    <m/>
  </r>
  <r>
    <s v="PO-2024-2141"/>
    <x v="70"/>
    <x v="2"/>
    <s v="Digital Advertising"/>
    <s v="CloudSaaS Corp"/>
    <n v="200214.55"/>
    <s v="GL-500200"/>
    <s v="12%"/>
    <s v="APPROVED"/>
    <s v="INV-8571"/>
    <s v="System Auto-Generated"/>
    <m/>
  </r>
  <r>
    <s v="PO-2024-2142"/>
    <x v="71"/>
    <x v="0"/>
    <s v="Office Supplies"/>
    <s v="Prime Space Realty"/>
    <n v="133396.25"/>
    <s v="GL-500200"/>
    <s v="12%"/>
    <s v="APPROVED"/>
    <s v="INV-6791"/>
    <s v="System Auto-Generated"/>
    <m/>
  </r>
  <r>
    <s v="PO-2024-2143"/>
    <x v="61"/>
    <x v="1"/>
    <s v="Digital Advertising"/>
    <s v="Paper Corp"/>
    <n v="287692.34999999998"/>
    <s v="GL-500100"/>
    <s v="12%"/>
    <s v="APPROVED"/>
    <s v="INV-8245"/>
    <s v="System Auto-Generated"/>
    <m/>
  </r>
  <r>
    <s v="PO-2024-2146"/>
    <x v="72"/>
    <x v="1"/>
    <s v="Office Supplies"/>
    <s v="TechDistributors Inc"/>
    <n v="263422.40000000002"/>
    <s v="GL-500200"/>
    <s v="12%"/>
    <s v="APPROVED"/>
    <s v="INV-7305"/>
    <s v="   Urgent operational requirement!   "/>
    <m/>
  </r>
  <r>
    <s v="PO-2024-2148"/>
    <x v="73"/>
    <x v="1"/>
    <s v="Office Supplies"/>
    <s v="Prime Space Realty"/>
    <n v="186069.28"/>
    <s v="GL-500200"/>
    <s v="0%"/>
    <s v="APPROVED"/>
    <s v="INV-8390"/>
    <s v="System Auto-Generated"/>
    <m/>
  </r>
  <r>
    <s v="PO-2024-2150"/>
    <x v="74"/>
    <x v="3"/>
    <s v="Travel &amp; Entertainment"/>
    <s v="Tech Distributors"/>
    <n v="233987.98"/>
    <s v="GL-500200"/>
    <s v="12%"/>
    <s v="APPROVED"/>
    <s v="INV-7299"/>
    <s v="   Urgent operational requirement!   "/>
    <m/>
  </r>
  <r>
    <s v="PO-2024-2151"/>
    <x v="75"/>
    <x v="1"/>
    <s v="Hardware Procurement"/>
    <s v="Prime Space Realty"/>
    <n v="357000.42"/>
    <s v="GL-500200"/>
    <s v="0%"/>
    <s v="APPROVED"/>
    <s v="INV-8453"/>
    <s v="   Urgent operational requirement!   "/>
    <m/>
  </r>
  <r>
    <s v="PO-2024-2153"/>
    <x v="76"/>
    <x v="1"/>
    <s v="Software Licenses"/>
    <s v="CloudSaaS Corp"/>
    <n v="142312.20000000001"/>
    <s v="GL-600300"/>
    <s v="12%"/>
    <s v="APPROVED"/>
    <s v="INV-7887"/>
    <s v="System Auto-Generated"/>
    <m/>
  </r>
  <r>
    <s v="PO-2024-2155"/>
    <x v="77"/>
    <x v="1"/>
    <s v="Software Licenses"/>
    <s v="CloudSaaS Corp"/>
    <n v="107521.12"/>
    <s v="GL-500100"/>
    <s v="0%"/>
    <s v="APPROVED"/>
    <s v="INV-4205"/>
    <s v="   Urgent operational requirement!   "/>
    <m/>
  </r>
  <r>
    <s v="PO-2024-2156"/>
    <x v="78"/>
    <x v="1"/>
    <s v="Hardware Procurement"/>
    <s v="CloudSaaS Corp"/>
    <n v="146837.72"/>
    <s v="GL-500100"/>
    <s v="0%"/>
    <s v="APPROVED"/>
    <s v="INV-5123"/>
    <s v="   Urgent operational requirement!   "/>
    <m/>
  </r>
  <r>
    <s v="PO-2024-2157"/>
    <x v="79"/>
    <x v="0"/>
    <s v="Software Licenses"/>
    <s v="Prime Space Realty"/>
    <n v="234286.07"/>
    <s v="GL-500200"/>
    <s v="0%"/>
    <s v="APPROVED"/>
    <s v="INV-5754"/>
    <s v="System Auto-Generated"/>
    <m/>
  </r>
  <r>
    <s v="PO-2024-2158"/>
    <x v="58"/>
    <x v="2"/>
    <s v="Office Rent"/>
    <s v="CloudSaaS Corp"/>
    <n v="211637.46"/>
    <s v="GL-500200"/>
    <s v="12%"/>
    <s v="APPROVED"/>
    <s v="INV-5433"/>
    <s v="System Auto-Generated"/>
    <m/>
  </r>
  <r>
    <s v="PO-2024-2160"/>
    <x v="80"/>
    <x v="4"/>
    <s v="Travel &amp; Entertainment"/>
    <s v="PaperCorp Supplies"/>
    <n v="156918.5"/>
    <s v="GL-500200"/>
    <s v="12%"/>
    <s v="APPROVED"/>
    <s v="INV-7526"/>
    <s v="System Auto-Generated"/>
    <m/>
  </r>
  <r>
    <s v="PO-2024-2162"/>
    <x v="81"/>
    <x v="0"/>
    <s v="Office Rent"/>
    <s v="PaperCorp Supplies"/>
    <n v="24895.62"/>
    <s v="GL-600300"/>
    <s v="12%"/>
    <s v="APPROVED"/>
    <s v="INV-6331"/>
    <s v="System Auto-Generated"/>
    <m/>
  </r>
  <r>
    <s v="PO-2024-2163"/>
    <x v="82"/>
    <x v="0"/>
    <s v="Software Licenses"/>
    <s v="Prime Space Realty"/>
    <n v="108141.97"/>
    <s v="GL-500200"/>
    <s v="12%"/>
    <s v="APPROVED"/>
    <s v="INV-9513"/>
    <s v="   Urgent operational requirement!   "/>
    <m/>
  </r>
  <r>
    <s v="PO-2024-2165"/>
    <x v="83"/>
    <x v="2"/>
    <s v="Digital Advertising"/>
    <s v="Tech Distributors"/>
    <n v="9749.34"/>
    <s v="GL-500200"/>
    <s v="12%"/>
    <s v="APPROVED"/>
    <s v="INV-9553"/>
    <s v="System Auto-Generated"/>
    <m/>
  </r>
  <r>
    <s v="PO-2024-2167"/>
    <x v="75"/>
    <x v="1"/>
    <s v="Office Rent"/>
    <s v="TechDistributors Inc"/>
    <n v="215479.48"/>
    <s v="GL-500100"/>
    <s v="12%"/>
    <s v="APPROVED"/>
    <s v="INV-7616"/>
    <s v="System Auto-Generated"/>
    <m/>
  </r>
  <r>
    <s v="PO-2024-2169"/>
    <x v="84"/>
    <x v="0"/>
    <s v="Hardware Procurement"/>
    <s v="TechDistributors Inc"/>
    <n v="219179.26"/>
    <s v="GL-500200"/>
    <s v="0%"/>
    <s v="APPROVED"/>
    <s v="INV-9051"/>
    <s v="System Auto-Generated"/>
    <m/>
  </r>
  <r>
    <s v="PO-2024-2173"/>
    <x v="85"/>
    <x v="0"/>
    <s v="Hardware Procurement"/>
    <s v="GlobalMedia Ads"/>
    <n v="220595.19"/>
    <s v="GL-500100"/>
    <s v="12%"/>
    <s v="APPROVED"/>
    <s v="INV-4596"/>
    <s v="System Auto-Generated"/>
    <m/>
  </r>
  <r>
    <s v="PO-2024-2174"/>
    <x v="86"/>
    <x v="2"/>
    <s v="Digital Advertising"/>
    <s v="Prime Space Realty"/>
    <n v="109049.84"/>
    <s v="GL-600300"/>
    <s v="12%"/>
    <s v="APPROVED"/>
    <m/>
    <s v="System Auto-Generated"/>
    <m/>
  </r>
  <r>
    <s v="PO-2024-2175"/>
    <x v="87"/>
    <x v="3"/>
    <s v="Office Supplies"/>
    <s v="GlobalMedia Ads"/>
    <n v="164574.19"/>
    <s v="GL-500200"/>
    <s v="0%"/>
    <s v="APPROVED"/>
    <s v="INV-9228"/>
    <s v="System Auto-Generated"/>
    <m/>
  </r>
  <r>
    <s v="PO-2024-2177"/>
    <x v="88"/>
    <x v="0"/>
    <s v="Office Rent"/>
    <s v="PaperCorp Supplies"/>
    <n v="50906.8"/>
    <s v="GL-500200"/>
    <s v="12%"/>
    <s v="APPROVED"/>
    <s v="INV-6119"/>
    <s v="System Auto-Generated"/>
    <m/>
  </r>
  <r>
    <s v="PO-2024-2180"/>
    <x v="34"/>
    <x v="1"/>
    <s v="Travel &amp; Entertainment"/>
    <s v="GlobalMedia Ads"/>
    <n v="130342.57"/>
    <s v="GL-500200"/>
    <s v="12%"/>
    <s v="APPROVED"/>
    <s v="INV-7803"/>
    <s v="System Auto-Generated"/>
    <m/>
  </r>
  <r>
    <s v="PO-2024-2181"/>
    <x v="32"/>
    <x v="1"/>
    <s v="Cloud Infrastructure"/>
    <s v="Prime Space Realty"/>
    <n v="118652.49"/>
    <s v="GL-500100"/>
    <s v="0%"/>
    <s v="APPROVED"/>
    <s v="INV-6763"/>
    <s v="System Auto-Generated"/>
    <m/>
  </r>
  <r>
    <s v="PO-2024-2183"/>
    <x v="89"/>
    <x v="0"/>
    <s v="Software Licenses"/>
    <s v="CloudSaaS Corp"/>
    <n v="148411.57"/>
    <s v="GL-500200"/>
    <s v="12%"/>
    <s v="APPROVED"/>
    <s v="INV-5345"/>
    <s v="System Auto-Generated"/>
    <m/>
  </r>
  <r>
    <s v="PO-2024-2186"/>
    <x v="90"/>
    <x v="4"/>
    <s v="Hardware Procurement"/>
    <s v="GlobalMedia Ads"/>
    <n v="111978.49"/>
    <s v="GL-500200"/>
    <s v="12%"/>
    <s v="APPROVED"/>
    <s v="INV-8967"/>
    <s v="System Auto-Generated"/>
    <m/>
  </r>
  <r>
    <s v="PO-2024-2187"/>
    <x v="91"/>
    <x v="4"/>
    <s v="Cloud Infrastructure"/>
    <s v="Prime Space Realty"/>
    <n v="217640.56"/>
    <s v="GL-500200"/>
    <s v="12%"/>
    <s v="APPROVED"/>
    <s v="INV-6230"/>
    <s v="System Auto-Generated"/>
    <m/>
  </r>
  <r>
    <s v="PO-2024-2189"/>
    <x v="92"/>
    <x v="0"/>
    <s v="Office Supplies"/>
    <s v="GlobalMedia Ads"/>
    <n v="38054.44"/>
    <s v="GL-600300"/>
    <s v="12%"/>
    <s v="APPROVED"/>
    <s v="INV-6016"/>
    <s v="System Auto-Generated"/>
    <m/>
  </r>
  <r>
    <s v="PO-2024-2194"/>
    <x v="93"/>
    <x v="2"/>
    <s v="Office Rent"/>
    <s v="GlobalMedia Ads"/>
    <n v="179359.66"/>
    <s v="GL-500200"/>
    <s v="12%"/>
    <s v="APPROVED"/>
    <s v="INV-4104"/>
    <s v="System Auto-Generated"/>
    <m/>
  </r>
  <r>
    <s v="PO-2024-2195"/>
    <x v="94"/>
    <x v="1"/>
    <s v="Cloud Infrastructure"/>
    <s v="Tech Distributors"/>
    <m/>
    <s v="GL-500200"/>
    <s v="12%"/>
    <s v="APPROVED"/>
    <s v="INV-9122"/>
    <s v="System Auto-Generated"/>
    <m/>
  </r>
  <r>
    <s v="PO-2024-2200"/>
    <x v="95"/>
    <x v="3"/>
    <s v="Office Rent"/>
    <s v="GlobalMedia Ads"/>
    <n v="14135.02"/>
    <s v="GL-500100"/>
    <s v="12%"/>
    <s v="APPROVED"/>
    <s v="INV-5128"/>
    <s v="System Auto-Generated"/>
    <m/>
  </r>
  <r>
    <s v="PO-2024-2202"/>
    <x v="96"/>
    <x v="0"/>
    <s v="Office Supplies"/>
    <s v="CloudSaaS Corp"/>
    <n v="15072.07"/>
    <s v="GL-500200"/>
    <s v="12%"/>
    <s v="APPROVED"/>
    <s v="INV-8348"/>
    <s v="System Auto-Generated"/>
    <m/>
  </r>
  <r>
    <s v="PO-2024-2207"/>
    <x v="97"/>
    <x v="0"/>
    <s v="Software Licenses"/>
    <s v="GlobalMedia Ads"/>
    <n v="197858.25"/>
    <s v="GL-500100"/>
    <s v="12%"/>
    <s v="APPROVED"/>
    <s v="INV-5693"/>
    <s v="System Auto-Generated"/>
    <m/>
  </r>
  <r>
    <s v="PO-2024-2209"/>
    <x v="98"/>
    <x v="0"/>
    <s v="Office Rent"/>
    <s v="Paper Corp"/>
    <n v="27156.99"/>
    <s v="GL-500100"/>
    <s v="12%"/>
    <s v="APPROVED"/>
    <s v="INV-6441"/>
    <s v="   Urgent operational requirement!   "/>
    <m/>
  </r>
  <r>
    <s v="PO-2024-2211"/>
    <x v="69"/>
    <x v="1"/>
    <s v="Hardware Procurement"/>
    <s v="GlobalMedia Ads"/>
    <n v="267476.75"/>
    <s v="GL-600300"/>
    <s v="12%"/>
    <s v="APPROVED"/>
    <s v="INV-4397"/>
    <s v="   Urgent operational requirement!   "/>
    <m/>
  </r>
  <r>
    <s v="PO-2024-2212"/>
    <x v="99"/>
    <x v="2"/>
    <s v="Office Supplies"/>
    <s v="PaperCorp Supplies"/>
    <n v="93324.05"/>
    <s v="GL-600300"/>
    <s v="12%"/>
    <s v="APPROVED"/>
    <m/>
    <s v="System Auto-Generated"/>
    <m/>
  </r>
  <r>
    <s v="PO-2024-2213"/>
    <x v="100"/>
    <x v="2"/>
    <s v="Software Licenses"/>
    <s v="CloudSaaS Corp"/>
    <n v="249802.38"/>
    <s v="GL-600300"/>
    <s v="0%"/>
    <s v="APPROVED"/>
    <s v="INV-6988"/>
    <s v="System Auto-Generated"/>
    <m/>
  </r>
  <r>
    <s v="PO-2024-2214"/>
    <x v="101"/>
    <x v="0"/>
    <s v="Hardware Procurement"/>
    <s v="TechDistributors Inc"/>
    <n v="56137.66"/>
    <s v="GL-500200"/>
    <s v="12%"/>
    <s v="APPROVED"/>
    <s v="INV-5222"/>
    <s v="   Urgent operational requirement!   "/>
    <m/>
  </r>
  <r>
    <s v="PO-2024-2215"/>
    <x v="102"/>
    <x v="4"/>
    <s v="Office Supplies"/>
    <s v="CloudSaaS Corp"/>
    <n v="169417.09"/>
    <s v="GL-600300"/>
    <s v="12%"/>
    <s v="APPROVED"/>
    <s v="INV-4003"/>
    <s v="System Auto-Generated"/>
    <m/>
  </r>
  <r>
    <s v="PO-2024-2216"/>
    <x v="103"/>
    <x v="0"/>
    <s v="Travel &amp; Entertainment"/>
    <s v="Prime Space Realty"/>
    <n v="171774.02"/>
    <s v="GL-500100"/>
    <s v="12%"/>
    <s v="APPROVED"/>
    <s v="INV-7614"/>
    <s v="System Auto-Generated"/>
    <m/>
  </r>
  <r>
    <s v="PO-2024-2218"/>
    <x v="104"/>
    <x v="0"/>
    <s v="Office Rent"/>
    <s v="GlobalMedia Ads"/>
    <n v="149130.62"/>
    <s v="GL-500100"/>
    <s v="12%"/>
    <s v="APPROVED"/>
    <s v="INV-8424"/>
    <s v="System Auto-Generated"/>
    <m/>
  </r>
  <r>
    <s v="PO-2024-2220"/>
    <x v="105"/>
    <x v="1"/>
    <s v="Software Licenses"/>
    <s v="GlobalMedia Ads"/>
    <n v="160545"/>
    <s v="GL-500200"/>
    <s v="0%"/>
    <s v="APPROVED"/>
    <s v="INV-8542"/>
    <s v="System Auto-Generated"/>
    <m/>
  </r>
  <r>
    <s v="PO-2024-2221"/>
    <x v="106"/>
    <x v="0"/>
    <s v="Software Licenses"/>
    <s v="TechDistributors Inc"/>
    <n v="90230.32"/>
    <s v="GL-600300"/>
    <s v="12%"/>
    <s v="APPROVED"/>
    <s v="INV-9661"/>
    <s v="System Auto-Generated"/>
    <m/>
  </r>
  <r>
    <s v="PO-2024-2222"/>
    <x v="107"/>
    <x v="2"/>
    <s v="Office Rent"/>
    <s v="PaperCorp Supplies"/>
    <n v="45513.71"/>
    <s v="GL-600300"/>
    <s v="0%"/>
    <s v="APPROVED"/>
    <s v="INV-7656"/>
    <s v="System Auto-Generated"/>
    <m/>
  </r>
  <r>
    <s v="PO-2024-2223"/>
    <x v="108"/>
    <x v="0"/>
    <s v="Cloud Infrastructure"/>
    <s v="GlobalMedia Ads"/>
    <n v="74666.850000000006"/>
    <s v="GL-500200"/>
    <s v="12%"/>
    <s v="APPROVED"/>
    <s v="INV-4091"/>
    <s v="System Auto-Generated"/>
    <m/>
  </r>
  <r>
    <s v="PO-2024-2224"/>
    <x v="109"/>
    <x v="1"/>
    <s v="Cloud Infrastructure"/>
    <s v="CloudSaaS Corporation"/>
    <n v="137244.72"/>
    <s v="GL-500200"/>
    <s v="0%"/>
    <s v="APPROVED"/>
    <s v="INV-4839"/>
    <s v="   Urgent operational requirement!   "/>
    <m/>
  </r>
  <r>
    <s v="   "/>
    <x v="110"/>
    <x v="1"/>
    <s v="Office Supplies"/>
    <s v="GlobalMedia Ads"/>
    <n v="150660.18"/>
    <s v="GL-600300"/>
    <s v="12%"/>
    <s v="APPROVED"/>
    <s v="INV-4239"/>
    <s v="System Auto-Generated"/>
    <m/>
  </r>
  <r>
    <s v="PO-2024-2229"/>
    <x v="111"/>
    <x v="1"/>
    <s v="Office Rent"/>
    <s v="CloudSaaS Corp"/>
    <n v="151819.98000000001"/>
    <s v="GL-500200"/>
    <s v="12%"/>
    <s v="APPROVED"/>
    <s v="INV-5027"/>
    <s v="   Urgent operational requirement!   "/>
    <m/>
  </r>
  <r>
    <s v="PO-2024-2231"/>
    <x v="112"/>
    <x v="4"/>
    <s v="Software Licenses"/>
    <s v="GlobalMedia Ads"/>
    <n v="253026.87"/>
    <s v="GL-500200"/>
    <s v="12%"/>
    <s v="APPROVED"/>
    <s v="INV-6319"/>
    <s v="   Urgent operational requirement!   "/>
    <m/>
  </r>
  <r>
    <s v="PO-2024-2233"/>
    <x v="113"/>
    <x v="0"/>
    <s v="Office Supplies"/>
    <s v="TechDistributors Inc"/>
    <n v="49594.46"/>
    <s v="GL-500200"/>
    <s v="12%"/>
    <s v="APPROVED"/>
    <m/>
    <s v="System Auto-Generated"/>
    <m/>
  </r>
  <r>
    <s v="PO-2024-2236"/>
    <x v="114"/>
    <x v="4"/>
    <s v="Office Rent"/>
    <s v="GlobalMedia Ads"/>
    <n v="186526.16"/>
    <s v="GL-600300"/>
    <s v="12%"/>
    <s v="APPROVED"/>
    <s v="INV-5054"/>
    <s v="System Auto-Generated"/>
    <m/>
  </r>
  <r>
    <s v="PO-2024-2237"/>
    <x v="115"/>
    <x v="1"/>
    <s v="Software Licenses"/>
    <s v="TechDistributors Inc"/>
    <n v="20967.64"/>
    <s v="GL-500100"/>
    <s v="12%"/>
    <s v="APPROVED"/>
    <s v="INV-7428"/>
    <s v="System Auto-Generated"/>
    <m/>
  </r>
  <r>
    <s v="PO-2024-2239"/>
    <x v="116"/>
    <x v="1"/>
    <s v="Office Supplies"/>
    <s v="GlobalMedia Ads"/>
    <n v="273161.63"/>
    <s v="GL-500100"/>
    <s v="12%"/>
    <s v="APPROVED"/>
    <s v="INV-7856"/>
    <s v="System Auto-Generated"/>
    <m/>
  </r>
  <r>
    <s v="PO-2024-2240"/>
    <x v="117"/>
    <x v="4"/>
    <s v="Office Supplies"/>
    <s v="PaperCorp Supplies"/>
    <n v="225861.79"/>
    <s v="GL-500100"/>
    <s v="12%"/>
    <s v="APPROVED"/>
    <s v="INV-8515"/>
    <s v="   Urgent operational requirement!   "/>
    <m/>
  </r>
  <r>
    <s v="PO-2024-2242"/>
    <x v="118"/>
    <x v="0"/>
    <s v="Cloud Infrastructure"/>
    <s v="GlobalMedia Ads"/>
    <n v="8274"/>
    <s v="GL-500100"/>
    <s v="12%"/>
    <s v="APPROVED"/>
    <m/>
    <s v="System Auto-Generated"/>
    <m/>
  </r>
  <r>
    <s v="PO-2024-2243"/>
    <x v="68"/>
    <x v="1"/>
    <s v="Digital Advertising"/>
    <s v="GlobalMedia Ads"/>
    <n v="68236.41"/>
    <s v="GL-500100"/>
    <s v="12%"/>
    <s v="APPROVED"/>
    <m/>
    <s v="System Auto-Generated"/>
    <m/>
  </r>
  <r>
    <s v="PO-2024-2245"/>
    <x v="119"/>
    <x v="0"/>
    <s v="Hardware Procurement"/>
    <s v="TechDistributors Inc"/>
    <n v="212185.31"/>
    <s v="GL-600300"/>
    <s v="12%"/>
    <s v="APPROVED"/>
    <s v="INV-9285"/>
    <s v="   Urgent operational requirement!   "/>
    <m/>
  </r>
  <r>
    <s v="   "/>
    <x v="120"/>
    <x v="2"/>
    <s v="Digital Advertising"/>
    <s v="GlobalMedia Ads"/>
    <n v="89353.66"/>
    <s v="GL-500200"/>
    <s v="12%"/>
    <s v="APPROVED"/>
    <s v="INV-6147"/>
    <s v="System Auto-Generated"/>
    <m/>
  </r>
  <r>
    <s v="PO-2024-2247"/>
    <x v="121"/>
    <x v="2"/>
    <s v="Hardware Procurement"/>
    <s v="GlobalMedia Ads"/>
    <n v="206468.63"/>
    <s v="GL-600300"/>
    <s v="12%"/>
    <s v="APPROVED"/>
    <m/>
    <s v="System Auto-Generated"/>
    <m/>
  </r>
  <r>
    <s v="PO-2024-2248"/>
    <x v="122"/>
    <x v="0"/>
    <s v="Travel &amp; Entertainment"/>
    <s v="CloudSaaS Corp"/>
    <n v="72557.25"/>
    <s v="GL-500200"/>
    <s v="12%"/>
    <s v="APPROVED"/>
    <s v="INV-4686"/>
    <s v="System Auto-Generated"/>
    <m/>
  </r>
  <r>
    <s v="PO-2024-2252"/>
    <x v="123"/>
    <x v="1"/>
    <s v="Software Licenses"/>
    <s v="CloudSaaS Corporation"/>
    <n v="222602.21"/>
    <s v="GL-500100"/>
    <s v="12%"/>
    <s v="APPROVED"/>
    <s v="INV-4258"/>
    <s v="   Urgent operational requirement!   "/>
    <m/>
  </r>
  <r>
    <s v="PO-2024-2257"/>
    <x v="124"/>
    <x v="4"/>
    <s v="Office Supplies"/>
    <s v="TechDistributors Inc"/>
    <n v="169006.94"/>
    <s v="GL-600300"/>
    <s v="12%"/>
    <s v="APPROVED"/>
    <s v="INV-4391"/>
    <s v="System Auto-Generated"/>
    <m/>
  </r>
  <r>
    <s v="PO-2024-2258"/>
    <x v="125"/>
    <x v="4"/>
    <s v="Digital Advertising"/>
    <s v="PaperCorp Supplies"/>
    <n v="20668.41"/>
    <s v="GL-500200"/>
    <s v="12%"/>
    <s v="APPROVED"/>
    <m/>
    <s v="System Auto-Generated"/>
    <m/>
  </r>
  <r>
    <s v="PO-2024-2259"/>
    <x v="126"/>
    <x v="1"/>
    <s v="Cloud Infrastructure"/>
    <s v="PaperCorp Supplies"/>
    <n v="182877.75"/>
    <s v="GL-500100"/>
    <s v="0%"/>
    <s v="APPROVED"/>
    <s v="INV-9272"/>
    <s v="System Auto-Generated"/>
    <m/>
  </r>
  <r>
    <s v="PO-2024-2260"/>
    <x v="127"/>
    <x v="2"/>
    <s v="Hardware Procurement"/>
    <s v="PaperCorp Supplies"/>
    <m/>
    <s v="GL-600300"/>
    <s v="12%"/>
    <s v="APPROVED"/>
    <s v="INV-6691"/>
    <s v="System Auto-Generated"/>
    <m/>
  </r>
  <r>
    <s v="PO-2024-2262"/>
    <x v="128"/>
    <x v="4"/>
    <s v="Digital Advertising"/>
    <s v="PaperCorp Supplies"/>
    <n v="40000.58"/>
    <s v="GL-500100"/>
    <s v="12%"/>
    <s v="APPROVED"/>
    <s v="INV-7689"/>
    <s v="System Auto-Generated"/>
    <m/>
  </r>
  <r>
    <s v="PO-2024-2265"/>
    <x v="125"/>
    <x v="0"/>
    <s v="Hardware Procurement"/>
    <s v="CloudSaaS Corp"/>
    <n v="223530.88"/>
    <s v="GL-500100"/>
    <s v="0%"/>
    <s v="APPROVED"/>
    <s v="INV-9946"/>
    <s v="System Auto-Generated"/>
    <m/>
  </r>
  <r>
    <s v="PO-2024-2269"/>
    <x v="129"/>
    <x v="0"/>
    <s v="Cloud Infrastructure"/>
    <s v="CloudSaaS Corp"/>
    <n v="169563.74"/>
    <s v="GL-500200"/>
    <s v="12%"/>
    <s v="APPROVED"/>
    <m/>
    <s v="System Auto-Generated"/>
    <m/>
  </r>
  <r>
    <s v="PO-2024-2273"/>
    <x v="130"/>
    <x v="1"/>
    <s v="Software Licenses"/>
    <s v="Prime Space Realty"/>
    <n v="236103.89"/>
    <s v="GL-500200"/>
    <s v="12%"/>
    <s v="APPROVED"/>
    <m/>
    <s v="System Auto-Generated"/>
    <m/>
  </r>
  <r>
    <s v="PO-2024-2274"/>
    <x v="131"/>
    <x v="2"/>
    <s v="Office Rent"/>
    <s v="CloudSaaS Corp"/>
    <n v="78418.81"/>
    <s v="GL-500100"/>
    <s v="12%"/>
    <s v="APPROVED"/>
    <s v="INV-7925"/>
    <s v="   Urgent operational requirement!   "/>
    <m/>
  </r>
  <r>
    <s v="PO-2024-2276"/>
    <x v="132"/>
    <x v="2"/>
    <s v="Software Licenses"/>
    <s v="TechDistributors Inc"/>
    <n v="25716.98"/>
    <s v="GL-600300"/>
    <s v="12%"/>
    <s v="APPROVED"/>
    <s v="INV-7500"/>
    <s v="System Auto-Generated"/>
    <m/>
  </r>
  <r>
    <s v="PO-2024-2277"/>
    <x v="94"/>
    <x v="1"/>
    <s v="Office Rent"/>
    <s v="Prime Space Realty"/>
    <n v="39170.199999999997"/>
    <s v="GL-500200"/>
    <s v="12%"/>
    <s v="APPROVED"/>
    <s v="INV-7218"/>
    <s v="System Auto-Generated"/>
    <m/>
  </r>
  <r>
    <s v="PO-2024-2279"/>
    <x v="133"/>
    <x v="0"/>
    <s v="Office Supplies"/>
    <s v="GlobalMedia Ads"/>
    <n v="95400.9"/>
    <s v="GL-500100"/>
    <s v="12%"/>
    <s v="APPROVED"/>
    <s v="INV-7833"/>
    <s v="System Auto-Generated"/>
    <m/>
  </r>
  <r>
    <s v="PO-2024-2280"/>
    <x v="134"/>
    <x v="2"/>
    <s v="Travel &amp; Entertainment"/>
    <s v="GlobalMedia Ads"/>
    <n v="181159.47"/>
    <s v="GL-500200"/>
    <s v="12%"/>
    <s v="APPROVED"/>
    <m/>
    <s v="System Auto-Generated"/>
    <m/>
  </r>
  <r>
    <s v="PO-2024-2281"/>
    <x v="135"/>
    <x v="1"/>
    <s v="Hardware Procurement"/>
    <s v="GlobalMedia Ads"/>
    <n v="112971.7"/>
    <s v="GL-600300"/>
    <s v="12%"/>
    <s v="APPROVED"/>
    <s v="INV-6813"/>
    <s v="System Auto-Generated"/>
    <m/>
  </r>
  <r>
    <s v="PO-2024-2283"/>
    <x v="136"/>
    <x v="2"/>
    <s v="Office Rent"/>
    <s v="CloudSaaS Corp"/>
    <n v="12529.06"/>
    <s v="GL-600300"/>
    <s v="12%"/>
    <s v="APPROVED"/>
    <m/>
    <s v="System Auto-Generated"/>
    <m/>
  </r>
  <r>
    <s v="PO-2024-2284"/>
    <x v="137"/>
    <x v="1"/>
    <s v="Office Rent"/>
    <s v="GlobalMedia Ads"/>
    <n v="261308.64"/>
    <s v="GL-500200"/>
    <s v="12%"/>
    <s v="APPROVED"/>
    <s v="INV-5946"/>
    <s v="   Urgent operational requirement!   "/>
    <m/>
  </r>
  <r>
    <s v="PO-2024-2289"/>
    <x v="138"/>
    <x v="0"/>
    <s v="Digital Advertising"/>
    <s v="GlobalMedia Ads"/>
    <n v="175134.07"/>
    <s v="GL-500200"/>
    <s v="12%"/>
    <s v="APPROVED"/>
    <s v="INV-7406"/>
    <s v="System Auto-Generated"/>
    <m/>
  </r>
  <r>
    <s v="PO-2024-2291"/>
    <x v="139"/>
    <x v="2"/>
    <s v="Digital Advertising"/>
    <s v="CloudSaaS Corp"/>
    <n v="213844.9"/>
    <s v="GL-500200"/>
    <s v="12%"/>
    <s v="APPROVED"/>
    <s v="INV-8334"/>
    <s v="System Auto-Generated"/>
    <m/>
  </r>
  <r>
    <s v="PO-2024-2294"/>
    <x v="14"/>
    <x v="2"/>
    <s v="Hardware Procurement"/>
    <s v="PaperCorp Supplies"/>
    <n v="108922.71"/>
    <s v="GL-500200"/>
    <s v="12%"/>
    <s v="APPROVED"/>
    <s v="INV-5321"/>
    <s v="   Urgent operational requirement!   "/>
    <m/>
  </r>
  <r>
    <s v="PO-2024-2297"/>
    <x v="140"/>
    <x v="2"/>
    <s v="Office Rent"/>
    <s v="Prime Space Realty"/>
    <n v="87858.59"/>
    <s v="GL-500200"/>
    <s v="12%"/>
    <s v="APPROVED"/>
    <s v="INV-9934"/>
    <s v="System Auto-Generated"/>
    <m/>
  </r>
  <r>
    <s v="PO-2024-2298"/>
    <x v="141"/>
    <x v="2"/>
    <s v="Office Supplies"/>
    <s v="GlobalMedia Ads"/>
    <n v="183467.06"/>
    <s v="GL-500200"/>
    <s v="12%"/>
    <s v="APPROVED"/>
    <s v="INV-6528"/>
    <s v="   Urgent operational requirement!   "/>
    <m/>
  </r>
  <r>
    <s v="PO-2024-2301"/>
    <x v="142"/>
    <x v="1"/>
    <s v="Office Rent"/>
    <s v="CloudSaaS Corporation"/>
    <n v="48826.76"/>
    <s v="GL-500200"/>
    <s v="12%"/>
    <s v="APPROVED"/>
    <m/>
    <s v="System Auto-Generated"/>
    <m/>
  </r>
  <r>
    <s v="PO-2024-2302"/>
    <x v="143"/>
    <x v="1"/>
    <s v="Cloud Infrastructure"/>
    <s v="TechDistributors Inc"/>
    <n v="248652.34"/>
    <s v="GL-500200"/>
    <s v="12%"/>
    <s v="APPROVED"/>
    <s v="INV-6142"/>
    <s v="System Auto-Generated"/>
    <m/>
  </r>
  <r>
    <s v="PO-2024-2303"/>
    <x v="144"/>
    <x v="1"/>
    <s v="Hardware Procurement"/>
    <s v="CloudSaaS Corp"/>
    <n v="181477.6"/>
    <s v="GL-500100"/>
    <s v="12%"/>
    <s v="APPROVED"/>
    <m/>
    <s v="   Urgent operational requirement!   "/>
    <m/>
  </r>
  <r>
    <s v="PO-2024-2305"/>
    <x v="145"/>
    <x v="4"/>
    <s v="Digital Advertising"/>
    <s v="PaperCorp Supplies"/>
    <n v="209181.64"/>
    <s v="GL-600300"/>
    <s v="12%"/>
    <s v="APPROVED"/>
    <s v="INV-6024"/>
    <s v="System Auto-Generated"/>
    <m/>
  </r>
  <r>
    <s v="PO-2024-2307"/>
    <x v="146"/>
    <x v="1"/>
    <s v="Cloud Infrastructure"/>
    <s v="GlobalMedia Ads"/>
    <n v="85233.27"/>
    <s v="GL-600300"/>
    <s v="12%"/>
    <s v="APPROVED"/>
    <s v="INV-6217"/>
    <s v="System Auto-Generated"/>
    <m/>
  </r>
  <r>
    <s v="PO-2024-2308"/>
    <x v="147"/>
    <x v="1"/>
    <s v="Office Rent"/>
    <s v="CloudSaaS Corporation"/>
    <n v="29378"/>
    <s v="GL-500100"/>
    <s v="12%"/>
    <s v="APPROVED"/>
    <s v="INV-8368"/>
    <s v="System Auto-Generated"/>
    <m/>
  </r>
  <r>
    <s v="PO-2024-2310"/>
    <x v="148"/>
    <x v="0"/>
    <s v="Cloud Infrastructure"/>
    <s v="Prime Space Realty"/>
    <n v="112227.01"/>
    <s v="GL-600300"/>
    <s v="12%"/>
    <s v="APPROVED"/>
    <s v="INV-8213"/>
    <s v="   Urgent operational requirement!   "/>
    <m/>
  </r>
  <r>
    <s v="PO-2024-2313"/>
    <x v="149"/>
    <x v="2"/>
    <s v="Office Supplies"/>
    <s v="CloudSaaS Corp"/>
    <n v="199312.81"/>
    <s v="GL-600300"/>
    <s v="12%"/>
    <s v="APPROVED"/>
    <s v="INV-9099"/>
    <s v="System Auto-Generated"/>
    <m/>
  </r>
  <r>
    <s v="PO-2024-2315"/>
    <x v="150"/>
    <x v="4"/>
    <s v="Travel &amp; Entertainment"/>
    <s v="PaperCorp Supplies"/>
    <n v="62422.74"/>
    <s v="GL-600300"/>
    <s v="12%"/>
    <s v="APPROVED"/>
    <s v="INV-8052"/>
    <s v="   Urgent operational requirement!   "/>
    <m/>
  </r>
  <r>
    <s v="PO-2024-2316"/>
    <x v="151"/>
    <x v="2"/>
    <s v="Cloud Infrastructure"/>
    <s v="CloudSaaS Corp"/>
    <n v="159188.68"/>
    <s v="GL-500100"/>
    <s v="12%"/>
    <s v="APPROVED"/>
    <m/>
    <s v="System Auto-Generated"/>
    <m/>
  </r>
  <r>
    <s v="   "/>
    <x v="110"/>
    <x v="1"/>
    <s v="Office Rent"/>
    <s v="GlobalMedia Ads"/>
    <n v="254961.83"/>
    <s v="GL-500200"/>
    <s v="12%"/>
    <s v="APPROVED"/>
    <s v="INV-5889"/>
    <s v="System Auto-Generated"/>
    <m/>
  </r>
  <r>
    <s v="PO-2024-2324"/>
    <x v="152"/>
    <x v="0"/>
    <s v="Digital Advertising"/>
    <s v="GlobalMedia Ads"/>
    <n v="58564.68"/>
    <s v="GL-500200"/>
    <s v="0%"/>
    <s v="APPROVED"/>
    <s v="INV-8011"/>
    <s v="System Auto-Generated"/>
    <m/>
  </r>
  <r>
    <s v="PO-2024-2326"/>
    <x v="153"/>
    <x v="4"/>
    <s v="Office Supplies"/>
    <s v="PaperCorp Supplies"/>
    <n v="10342.370000000001"/>
    <s v="GL-600300"/>
    <s v="0%"/>
    <s v="APPROVED"/>
    <s v="INV-9991"/>
    <s v="System Auto-Generated"/>
    <m/>
  </r>
  <r>
    <s v="PO-2024-2327"/>
    <x v="154"/>
    <x v="2"/>
    <s v="Hardware Procurement"/>
    <s v="GlobalMedia Ads"/>
    <n v="71884.36"/>
    <s v="GL-500200"/>
    <s v="12%"/>
    <s v="APPROVED"/>
    <s v="INV-6151"/>
    <s v="System Auto-Generated"/>
    <m/>
  </r>
  <r>
    <s v="PO-2024-2328"/>
    <x v="155"/>
    <x v="2"/>
    <s v="Software Licenses"/>
    <s v="TechDistributors Inc"/>
    <n v="6090.8"/>
    <s v="GL-600300"/>
    <s v="12%"/>
    <s v="APPROVED"/>
    <s v="INV-5313"/>
    <s v="   Urgent operational requirement!   "/>
    <m/>
  </r>
  <r>
    <s v="PO-2024-2329"/>
    <x v="156"/>
    <x v="4"/>
    <s v="Cloud Infrastructure"/>
    <s v="PaperCorp Supplies"/>
    <n v="83958.94"/>
    <s v="GL-600300"/>
    <s v="12%"/>
    <s v="APPROVED"/>
    <s v="INV-5321"/>
    <s v="   Urgent operational requirement!   "/>
    <m/>
  </r>
  <r>
    <s v="PO-2024-2330"/>
    <x v="157"/>
    <x v="0"/>
    <s v="Digital Advertising"/>
    <s v="GlobalMedia Ads"/>
    <n v="189190"/>
    <s v="GL-600300"/>
    <s v="12%"/>
    <s v="APPROVED"/>
    <s v="INV-5146"/>
    <s v="   Urgent operational requirement!   "/>
    <m/>
  </r>
  <r>
    <s v="PO-2024-2333"/>
    <x v="158"/>
    <x v="4"/>
    <s v="Hardware Procurement"/>
    <s v="TechDistributors Inc"/>
    <n v="175374.74"/>
    <s v="GL-500100"/>
    <s v="12%"/>
    <s v="APPROVED"/>
    <s v="INV-7554"/>
    <s v="System Auto-Generated"/>
    <m/>
  </r>
  <r>
    <s v="PO-2024-2336"/>
    <x v="159"/>
    <x v="0"/>
    <s v="Software Licenses"/>
    <s v="PaperCorp Supplies"/>
    <n v="90486.5"/>
    <s v="GL-500100"/>
    <s v="12%"/>
    <s v="APPROVED"/>
    <s v="INV-5970"/>
    <s v="System Auto-Generated"/>
    <m/>
  </r>
  <r>
    <s v="PO-2024-2341"/>
    <x v="160"/>
    <x v="2"/>
    <s v="Travel &amp; Entertainment"/>
    <s v="CloudSaaS Corp"/>
    <n v="252939.47"/>
    <s v="GL-500100"/>
    <s v="12%"/>
    <s v="APPROVED"/>
    <s v="INV-5974"/>
    <s v="System Auto-Generated"/>
    <m/>
  </r>
  <r>
    <s v="PO-2024-2342"/>
    <x v="53"/>
    <x v="0"/>
    <s v="Software Licenses"/>
    <s v="CloudSaaS Corp"/>
    <n v="239331.93"/>
    <s v="GL-500200"/>
    <s v="12%"/>
    <s v="APPROVED"/>
    <s v="INV-7144"/>
    <s v="System Auto-Generated"/>
    <m/>
  </r>
  <r>
    <s v="PO-2024-2346"/>
    <x v="161"/>
    <x v="0"/>
    <s v="Hardware Procurement"/>
    <s v="GlobalMedia Ads"/>
    <n v="241316.62"/>
    <s v="GL-500200"/>
    <s v="12%"/>
    <s v="APPROVED"/>
    <s v="INV-8671"/>
    <s v="   Urgent operational requirement!   "/>
    <m/>
  </r>
  <r>
    <s v="PO-2024-2347"/>
    <x v="162"/>
    <x v="0"/>
    <s v="Office Rent"/>
    <s v="CloudSaaS Corp"/>
    <n v="209831.55"/>
    <s v="GL-600300"/>
    <s v="12%"/>
    <s v="APPROVED"/>
    <s v="INV-6335"/>
    <s v="System Auto-Generated"/>
    <m/>
  </r>
  <r>
    <s v="PO-2024-2348"/>
    <x v="163"/>
    <x v="0"/>
    <s v="Hardware Procurement"/>
    <s v="TechDistributors Inc"/>
    <n v="234970.85"/>
    <s v="GL-600300"/>
    <s v="12%"/>
    <s v="APPROVED"/>
    <s v="INV-6143"/>
    <s v="System Auto-Generated"/>
    <m/>
  </r>
  <r>
    <s v="PO-2024-2349"/>
    <x v="164"/>
    <x v="0"/>
    <s v="Software Licenses"/>
    <s v="PaperCorp Supplies"/>
    <n v="60900"/>
    <s v="GL-500200"/>
    <s v="12%"/>
    <s v="APPROVED"/>
    <s v="INV-4230"/>
    <s v="   Urgent operational requirement!   "/>
    <m/>
  </r>
  <r>
    <s v="PO-2024-2351"/>
    <x v="165"/>
    <x v="0"/>
    <s v="Digital Advertising"/>
    <s v="Prime Space Realty"/>
    <n v="110684.18"/>
    <s v="GL-500200"/>
    <s v="12%"/>
    <s v="APPROVED"/>
    <s v="INV-5638"/>
    <s v="System Auto-Generated"/>
    <m/>
  </r>
  <r>
    <s v="PO-2024-2352"/>
    <x v="166"/>
    <x v="0"/>
    <s v="Cloud Infrastructure"/>
    <s v="CloudSaaS Corp"/>
    <n v="126051"/>
    <s v="GL-500200"/>
    <s v="12%"/>
    <s v="APPROVED"/>
    <s v="INV-6461"/>
    <s v="System Auto-Generated"/>
    <m/>
  </r>
  <r>
    <s v="PO-2024-2355"/>
    <x v="167"/>
    <x v="4"/>
    <s v="Travel &amp; Entertainment"/>
    <s v="Prime Space Realty"/>
    <n v="211934.63"/>
    <s v="GL-600300"/>
    <s v="12%"/>
    <s v="APPROVED"/>
    <s v="INV-6568"/>
    <s v="System Auto-Generated"/>
    <m/>
  </r>
  <r>
    <s v="PO-2024-2360"/>
    <x v="168"/>
    <x v="4"/>
    <s v="Cloud Infrastructure"/>
    <s v="PaperCorp Supplies"/>
    <n v="47274.51"/>
    <s v="GL-500200"/>
    <s v="12%"/>
    <s v="APPROVED"/>
    <s v="INV-9013"/>
    <s v="System Auto-Generated"/>
    <m/>
  </r>
  <r>
    <s v="PO-2024-2361"/>
    <x v="169"/>
    <x v="1"/>
    <s v="Hardware Procurement"/>
    <s v="Prime Space Realty"/>
    <n v="280170.81"/>
    <s v="GL-500100"/>
    <s v="12%"/>
    <s v="APPROVED"/>
    <s v="INV-6631"/>
    <s v="System Auto-Generated"/>
    <m/>
  </r>
  <r>
    <s v="PO-2024-2362"/>
    <x v="170"/>
    <x v="2"/>
    <s v="Hardware Procurement"/>
    <s v="Prime Space Realty"/>
    <n v="150237.28"/>
    <s v="GL-600300"/>
    <s v="12%"/>
    <s v="APPROVED"/>
    <s v="INV-6541"/>
    <s v="System Auto-Generated"/>
    <m/>
  </r>
  <r>
    <s v="PO-2024-2363"/>
    <x v="171"/>
    <x v="2"/>
    <s v="Travel &amp; Entertainment"/>
    <s v="TechDistributors Inc"/>
    <n v="144580.35999999999"/>
    <s v="GL-500200"/>
    <s v="12%"/>
    <s v="APPROVED"/>
    <s v="INV-5382"/>
    <s v="System Auto-Generated"/>
    <m/>
  </r>
  <r>
    <s v="PO-2024-2364"/>
    <x v="172"/>
    <x v="1"/>
    <s v="Office Rent"/>
    <s v="TechDistributors Inc"/>
    <n v="169472.73"/>
    <s v="GL-500200"/>
    <s v="12%"/>
    <s v="APPROVED"/>
    <s v="INV-7043"/>
    <s v="System Auto-Generated"/>
    <m/>
  </r>
  <r>
    <s v="PO-2024-2369"/>
    <x v="151"/>
    <x v="0"/>
    <s v="Software Licenses"/>
    <s v="TechDistributors Inc"/>
    <n v="76486.95"/>
    <s v="GL-500200"/>
    <s v="0%"/>
    <s v="APPROVED"/>
    <s v="INV-5201"/>
    <s v="   Urgent operational requirement!   "/>
    <m/>
  </r>
  <r>
    <s v="PO-2024-2371"/>
    <x v="173"/>
    <x v="4"/>
    <s v="Cloud Infrastructure"/>
    <s v="PaperCorp Supplies"/>
    <n v="139720.44"/>
    <s v="GL-600300"/>
    <s v="12%"/>
    <s v="APPROVED"/>
    <s v="INV-5221"/>
    <s v="System Auto-Generated"/>
    <m/>
  </r>
  <r>
    <s v="PO-2024-2373"/>
    <x v="174"/>
    <x v="0"/>
    <s v="Cloud Infrastructure"/>
    <s v="PaperCorp Supplies"/>
    <n v="167318.45000000001"/>
    <s v="GL-500100"/>
    <s v="12%"/>
    <s v="APPROVED"/>
    <s v="INV-7071"/>
    <s v="System Auto-Generated"/>
    <m/>
  </r>
  <r>
    <s v="PO-2024-2374"/>
    <x v="97"/>
    <x v="0"/>
    <s v="Travel &amp; Entertainment"/>
    <s v="GlobalMedia Ads"/>
    <n v="8890"/>
    <s v="GL-500100"/>
    <s v="12%"/>
    <s v="APPROVED"/>
    <s v="INV-6396"/>
    <s v="System Auto-Generated"/>
    <m/>
  </r>
  <r>
    <s v="PO-2024-2378"/>
    <x v="175"/>
    <x v="1"/>
    <s v="Digital Advertising"/>
    <s v="Prime Space Realty"/>
    <n v="290785.15999999997"/>
    <s v="GL-600300"/>
    <s v="12%"/>
    <s v="APPROVED"/>
    <s v="INV-7558"/>
    <s v="System Auto-Generated"/>
    <m/>
  </r>
  <r>
    <s v="PO-2024-2383"/>
    <x v="176"/>
    <x v="2"/>
    <s v="Hardware Procurement"/>
    <s v="PaperCorp Supplies"/>
    <n v="144089.89000000001"/>
    <s v="GL-500200"/>
    <s v="0%"/>
    <s v="APPROVED"/>
    <s v="INV-7862"/>
    <s v="System Auto-Generated"/>
    <m/>
  </r>
  <r>
    <s v="PO-2024-2385"/>
    <x v="158"/>
    <x v="4"/>
    <s v="Office Rent"/>
    <s v="Prime Space Realty"/>
    <n v="294655.64"/>
    <s v="GL-500100"/>
    <s v="12%"/>
    <s v="APPROVED"/>
    <s v="INV-9472"/>
    <s v="System Auto-Generated"/>
    <m/>
  </r>
  <r>
    <s v="PO-2024-2388"/>
    <x v="177"/>
    <x v="0"/>
    <s v="Software Licenses"/>
    <s v="TechDistributors Inc"/>
    <n v="216603.14"/>
    <s v="GL-600300"/>
    <s v="12%"/>
    <s v="APPROVED"/>
    <s v="INV-7617"/>
    <s v="System Auto-Generated"/>
    <m/>
  </r>
  <r>
    <s v="PO-2024-2389"/>
    <x v="178"/>
    <x v="4"/>
    <s v="Cloud Infrastructure"/>
    <s v="PaperCorp Supplies"/>
    <n v="87222.01"/>
    <s v="GL-600300"/>
    <s v="12%"/>
    <s v="APPROVED"/>
    <s v="INV-8753"/>
    <s v="   Urgent operational requirement!   "/>
    <m/>
  </r>
  <r>
    <s v="PO-2024-2390"/>
    <x v="179"/>
    <x v="2"/>
    <s v="Office Rent"/>
    <s v="CloudSaaS Corp"/>
    <m/>
    <s v="GL-600300"/>
    <s v="12%"/>
    <s v="APPROVED"/>
    <s v="INV-4744"/>
    <s v="System Auto-Generated"/>
    <m/>
  </r>
  <r>
    <s v="PO-2024-2391"/>
    <x v="180"/>
    <x v="1"/>
    <s v="Travel &amp; Entertainment"/>
    <s v="CloudSaaS Corp"/>
    <n v="67932.81"/>
    <s v="GL-500200"/>
    <s v="12%"/>
    <s v="APPROVED"/>
    <s v="INV-9278"/>
    <s v="System Auto-Generated"/>
    <m/>
  </r>
  <r>
    <s v="PO-2024-2392"/>
    <x v="40"/>
    <x v="1"/>
    <s v="Software Licenses"/>
    <s v="CloudSaaS Corporation"/>
    <n v="309415.09999999998"/>
    <s v="GL-500200"/>
    <s v="12%"/>
    <s v="APPROVED"/>
    <s v="INV-6783"/>
    <s v="   Urgent operational requirement!   "/>
    <m/>
  </r>
  <r>
    <s v="PO-2024-2393"/>
    <x v="181"/>
    <x v="2"/>
    <s v="Digital Advertising"/>
    <s v="TechDistributors Inc"/>
    <n v="14949.94"/>
    <s v="GL-500100"/>
    <s v="12%"/>
    <s v="APPROVED"/>
    <s v="INV-4388"/>
    <s v="   Urgent operational requirement!   "/>
    <m/>
  </r>
  <r>
    <s v="PO-2024-2395"/>
    <x v="182"/>
    <x v="2"/>
    <s v="Hardware Procurement"/>
    <s v="Prime Space Realty"/>
    <n v="127572.1"/>
    <s v="GL-500100"/>
    <s v="0%"/>
    <s v="APPROVED"/>
    <s v="INV-4624"/>
    <s v="System Auto-Generated"/>
    <m/>
  </r>
  <r>
    <s v="PO-2024-2397"/>
    <x v="183"/>
    <x v="1"/>
    <s v="Software Licenses"/>
    <s v="GlobalMedia Ads"/>
    <n v="149145.92000000001"/>
    <s v="GL-600300"/>
    <s v="12%"/>
    <s v="APPROVED"/>
    <s v="INV-5621"/>
    <s v="System Auto-Generated"/>
    <m/>
  </r>
  <r>
    <s v="PO-2024-2398"/>
    <x v="184"/>
    <x v="0"/>
    <s v="Travel &amp; Entertainment"/>
    <s v="TechDistributors Inc"/>
    <n v="186183.52"/>
    <s v="GL-500200"/>
    <s v="12%"/>
    <s v="APPROVED"/>
    <m/>
    <s v="System Auto-Generated"/>
    <m/>
  </r>
  <r>
    <s v="PO-2024-2399"/>
    <x v="137"/>
    <x v="2"/>
    <s v="Digital Advertising"/>
    <s v="GlobalMedia Ads"/>
    <n v="99649.67"/>
    <s v="GL-500100"/>
    <s v="12%"/>
    <s v="APPROVED"/>
    <s v="INV-7383"/>
    <s v="System Auto-Generated"/>
    <m/>
  </r>
  <r>
    <s v="PO-2024-2403"/>
    <x v="185"/>
    <x v="1"/>
    <s v="Office Supplies"/>
    <s v="TechDistributors Inc"/>
    <n v="41806.160000000003"/>
    <s v="GL-500200"/>
    <s v="12%"/>
    <s v="APPROVED"/>
    <s v="INV-6700"/>
    <s v="System Auto-Generated"/>
    <m/>
  </r>
  <r>
    <s v="PO-2024-2404"/>
    <x v="186"/>
    <x v="4"/>
    <s v="Hardware Procurement"/>
    <s v="GlobalMedia Ads"/>
    <n v="80553.16"/>
    <s v="GL-600300"/>
    <s v="12%"/>
    <s v="APPROVED"/>
    <m/>
    <s v="   Urgent operational requirement!   "/>
    <m/>
  </r>
  <r>
    <s v="PO-2024-2406"/>
    <x v="134"/>
    <x v="1"/>
    <s v="Software Licenses"/>
    <s v="Prime Space Realty"/>
    <n v="140585.26999999999"/>
    <s v="GL-500200"/>
    <s v="12%"/>
    <s v="APPROVED"/>
    <s v="INV-7268"/>
    <s v="System Auto-Generated"/>
    <m/>
  </r>
  <r>
    <s v="PO-2024-2408"/>
    <x v="187"/>
    <x v="0"/>
    <s v="Software Licenses"/>
    <s v="PaperCorp Supplies"/>
    <n v="94817.4"/>
    <s v="GL-500200"/>
    <s v="12%"/>
    <s v="APPROVED"/>
    <s v="INV-8614"/>
    <s v="System Auto-Generated"/>
    <m/>
  </r>
  <r>
    <s v="PO-2024-2411"/>
    <x v="188"/>
    <x v="2"/>
    <s v="Office Supplies"/>
    <s v="PaperCorp Supplies"/>
    <n v="230994.45"/>
    <s v="GL-600300"/>
    <s v="12%"/>
    <s v="APPROVED"/>
    <s v="INV-7868"/>
    <s v="   Urgent operational requirement!   "/>
    <m/>
  </r>
  <r>
    <s v="PO-2024-2412"/>
    <x v="189"/>
    <x v="2"/>
    <s v="Office Supplies"/>
    <s v="Prime Space Realty"/>
    <n v="69014.539999999994"/>
    <s v="GL-500100"/>
    <s v="12%"/>
    <s v="APPROVED"/>
    <s v="INV-6183"/>
    <s v="System Auto-Generated"/>
    <m/>
  </r>
  <r>
    <s v="PO-2024-2414"/>
    <x v="190"/>
    <x v="1"/>
    <s v="Hardware Procurement"/>
    <s v="CloudSaaS Corp"/>
    <n v="159742.94"/>
    <s v="GL-600300"/>
    <s v="12%"/>
    <s v="APPROVED"/>
    <s v="INV-5074"/>
    <s v="   Urgent operational requirement!   "/>
    <m/>
  </r>
  <r>
    <s v="PO-2024-2418"/>
    <x v="191"/>
    <x v="0"/>
    <s v="Software Licenses"/>
    <s v="CloudSaaS Corp"/>
    <n v="88579"/>
    <s v="GL-600300"/>
    <s v="12%"/>
    <s v="APPROVED"/>
    <s v="INV-4160"/>
    <s v="System Auto-Generated"/>
    <m/>
  </r>
  <r>
    <s v="PO-2024-2420"/>
    <x v="192"/>
    <x v="2"/>
    <s v="Office Rent"/>
    <s v="PaperCorp Supplies"/>
    <n v="65447.09"/>
    <s v="GL-600300"/>
    <s v="12%"/>
    <s v="APPROVED"/>
    <s v="INV-4287"/>
    <s v="System Auto-Generated"/>
    <m/>
  </r>
  <r>
    <s v="PO-2024-2422"/>
    <x v="193"/>
    <x v="1"/>
    <s v="Hardware Procurement"/>
    <s v="Prime Space Realty"/>
    <n v="94984.639999999999"/>
    <s v="GL-500100"/>
    <s v="12%"/>
    <s v="APPROVED"/>
    <s v="INV-9128"/>
    <s v="System Auto-Generated"/>
    <m/>
  </r>
  <r>
    <s v="PO-2024-2423"/>
    <x v="194"/>
    <x v="2"/>
    <s v="Cloud Infrastructure"/>
    <s v="Prime Space Realty"/>
    <n v="36531.019999999997"/>
    <s v="GL-500200"/>
    <s v="12%"/>
    <s v="APPROVED"/>
    <s v="INV-9973"/>
    <s v="System Auto-Generated"/>
    <m/>
  </r>
  <r>
    <s v="PO-2024-2425"/>
    <x v="195"/>
    <x v="3"/>
    <s v="Travel &amp; Entertainment"/>
    <s v="GlobalMedia Ads"/>
    <n v="15119.52"/>
    <s v="GL-600300"/>
    <s v="12%"/>
    <s v="APPROVED"/>
    <s v="INV-9586"/>
    <s v="System Auto-Generated"/>
    <m/>
  </r>
  <r>
    <s v="PO-2024-2429"/>
    <x v="196"/>
    <x v="2"/>
    <s v="Hardware Procurement"/>
    <s v="CloudSaaS Corp"/>
    <n v="160388.70000000001"/>
    <s v="GL-600300"/>
    <s v="12%"/>
    <s v="APPROVED"/>
    <s v="INV-5444"/>
    <s v="System Auto-Generated"/>
    <m/>
  </r>
  <r>
    <s v="PO-2024-2430"/>
    <x v="197"/>
    <x v="2"/>
    <s v="Office Supplies"/>
    <s v="PaperCorp Supplies"/>
    <n v="238899"/>
    <s v="GL-500200"/>
    <s v="12%"/>
    <s v="APPROVED"/>
    <s v="INV-4957"/>
    <s v="System Auto-Generated"/>
    <m/>
  </r>
  <r>
    <s v="PO-2024-2434"/>
    <x v="198"/>
    <x v="1"/>
    <s v="Hardware Procurement"/>
    <s v="CloudSaaS Corporation"/>
    <n v="152850.01999999999"/>
    <s v="GL-500100"/>
    <s v="12%"/>
    <s v="APPROVED"/>
    <s v="INV-6509"/>
    <s v="System Auto-Generated"/>
    <m/>
  </r>
  <r>
    <s v="PO-2024-2439"/>
    <x v="199"/>
    <x v="4"/>
    <s v="Software Licenses"/>
    <s v="PaperCorp Supplies"/>
    <n v="166704.57"/>
    <s v="GL-600300"/>
    <s v="12%"/>
    <s v="APPROVED"/>
    <s v="INV-8778"/>
    <s v="System Auto-Generated"/>
    <m/>
  </r>
  <r>
    <s v="PO-2024-2440"/>
    <x v="188"/>
    <x v="0"/>
    <s v="Office Supplies"/>
    <s v="Prime Space Realty"/>
    <n v="227668"/>
    <s v="GL-500100"/>
    <s v="12%"/>
    <s v="APPROVED"/>
    <s v="INV-6011"/>
    <s v="System Auto-Generated"/>
    <m/>
  </r>
  <r>
    <s v="PO-2024-2441"/>
    <x v="200"/>
    <x v="4"/>
    <s v="Software Licenses"/>
    <s v="CloudSaaS Corporation"/>
    <n v="132256.87"/>
    <s v="GL-500200"/>
    <s v="12%"/>
    <s v="APPROVED"/>
    <s v="INV-8053"/>
    <s v="System Auto-Generated"/>
    <m/>
  </r>
  <r>
    <s v="PO-2024-2446"/>
    <x v="201"/>
    <x v="0"/>
    <s v="Software Licenses"/>
    <s v="GlobalMedia Ads"/>
    <n v="125991.99"/>
    <s v="GL-600300"/>
    <s v="12%"/>
    <s v="APPROVED"/>
    <s v="INV-9583"/>
    <s v="   Urgent operational requirement!   "/>
    <m/>
  </r>
  <r>
    <s v="PO-2024-2450"/>
    <x v="202"/>
    <x v="3"/>
    <s v="Travel &amp; Entertainment"/>
    <s v="Tech Distributors"/>
    <n v="64562.41"/>
    <s v="GL-500200"/>
    <s v="12%"/>
    <s v="APPROVED"/>
    <m/>
    <s v="System Auto-Generated"/>
    <m/>
  </r>
  <r>
    <s v="PO-2024-2451"/>
    <x v="203"/>
    <x v="4"/>
    <s v="Cloud Infrastructure"/>
    <s v="Paper Corp"/>
    <n v="86636.96"/>
    <s v="GL-600300"/>
    <s v="12%"/>
    <s v="APPROVED"/>
    <s v="INV-4779"/>
    <s v="   Urgent operational requirement!   "/>
    <m/>
  </r>
  <r>
    <s v="   "/>
    <x v="204"/>
    <x v="1"/>
    <s v="Software Licenses"/>
    <s v="CloudSaaS Corporation"/>
    <m/>
    <s v="GL-600300"/>
    <s v="12%"/>
    <s v="APPROVED"/>
    <s v="INV-6368"/>
    <s v="System Auto-Generated"/>
    <m/>
  </r>
  <r>
    <s v="PO-2024-2459"/>
    <x v="205"/>
    <x v="4"/>
    <s v="Digital Advertising"/>
    <s v="TechDistributors Inc"/>
    <n v="86814.35"/>
    <s v="GL-500200"/>
    <s v="12%"/>
    <s v="APPROVED"/>
    <s v="INV-9986"/>
    <s v="   Urgent operational requirement!   "/>
    <m/>
  </r>
  <r>
    <s v="PO-2024-2460"/>
    <x v="206"/>
    <x v="0"/>
    <s v="Office Rent"/>
    <s v="CloudSaaS Corp"/>
    <n v="106777.46"/>
    <s v="GL-500200"/>
    <s v="12%"/>
    <s v="APPROVED"/>
    <s v="INV-4763"/>
    <s v="System Auto-Generated"/>
    <m/>
  </r>
  <r>
    <s v="PO-2024-2461"/>
    <x v="207"/>
    <x v="2"/>
    <s v="Digital Advertising"/>
    <s v="TechDistributors Inc"/>
    <n v="22930.81"/>
    <s v="GL-500200"/>
    <s v="12%"/>
    <s v="APPROVED"/>
    <s v="INV-6174"/>
    <s v="   Urgent operational requirement!   "/>
    <m/>
  </r>
  <r>
    <s v="PO-2024-2465"/>
    <x v="208"/>
    <x v="2"/>
    <s v="Cloud Infrastructure"/>
    <s v="CloudSaaS Corp"/>
    <n v="173163.2"/>
    <s v="GL-600300"/>
    <s v="12%"/>
    <s v="APPROVED"/>
    <s v="INV-7460"/>
    <s v="System Auto-Generated"/>
    <m/>
  </r>
  <r>
    <s v="PO-2024-2469"/>
    <x v="209"/>
    <x v="1"/>
    <s v="Cloud Infrastructure"/>
    <s v="GlobalMedia Ads"/>
    <n v="174388.8"/>
    <s v="GL-600300"/>
    <s v="12%"/>
    <s v="APPROVED"/>
    <s v="INV-5451"/>
    <s v="System Auto-Generated"/>
    <m/>
  </r>
  <r>
    <s v="PO-2024-2473"/>
    <x v="210"/>
    <x v="2"/>
    <s v="Hardware Procurement"/>
    <s v="Prime Space Realty"/>
    <n v="112978.63"/>
    <s v="GL-500200"/>
    <s v="12%"/>
    <s v="APPROVED"/>
    <s v="INV-8412"/>
    <s v="System Auto-Generated"/>
    <m/>
  </r>
  <r>
    <s v="PO-2024-2474"/>
    <x v="211"/>
    <x v="0"/>
    <s v="Hardware Procurement"/>
    <s v="TechDistributors Inc"/>
    <n v="250986.92"/>
    <s v="GL-600300"/>
    <s v="12%"/>
    <s v="APPROVED"/>
    <s v="INV-9277"/>
    <s v="System Auto-Generated"/>
    <m/>
  </r>
  <r>
    <s v="PO-2024-2475"/>
    <x v="122"/>
    <x v="3"/>
    <s v="Hardware Procurement"/>
    <s v="Prime Space Realty"/>
    <n v="178725.47"/>
    <s v="GL-600300"/>
    <s v="12%"/>
    <s v="APPROVED"/>
    <s v="INV-5394"/>
    <s v="System Auto-Generated"/>
    <m/>
  </r>
  <r>
    <s v="PO-2024-2476"/>
    <x v="212"/>
    <x v="1"/>
    <s v="Office Supplies"/>
    <s v="PaperCorp Supplies"/>
    <n v="138326.13"/>
    <s v="GL-500100"/>
    <s v="12%"/>
    <s v="APPROVED"/>
    <s v="INV-9265"/>
    <s v="System Auto-Generated"/>
    <m/>
  </r>
  <r>
    <s v="PO-2024-2477"/>
    <x v="213"/>
    <x v="1"/>
    <s v="Office Supplies"/>
    <s v="GlobalMedia Ads"/>
    <n v="230407.41"/>
    <s v="GL-500100"/>
    <s v="12%"/>
    <s v="APPROVED"/>
    <s v="INV-7400"/>
    <s v="   Urgent operational requirement!   "/>
    <m/>
  </r>
  <r>
    <s v="PO-2024-2480"/>
    <x v="214"/>
    <x v="0"/>
    <s v="Hardware Procurement"/>
    <s v="CloudSaaS Corp"/>
    <n v="53019.14"/>
    <s v="GL-500100"/>
    <s v="12%"/>
    <s v="APPROVED"/>
    <s v="INV-7407"/>
    <s v="System Auto-Generated"/>
    <m/>
  </r>
  <r>
    <s v="PO-2024-2483"/>
    <x v="215"/>
    <x v="0"/>
    <s v="Software Licenses"/>
    <s v="CloudSaaS Corporation"/>
    <n v="142742.18"/>
    <s v="GL-500100"/>
    <s v="12%"/>
    <s v="APPROVED"/>
    <s v="INV-5899"/>
    <s v="System Auto-Generated"/>
    <m/>
  </r>
  <r>
    <s v="PO-2024-2486"/>
    <x v="216"/>
    <x v="0"/>
    <s v="Office Rent"/>
    <s v="CloudSaaS Corp"/>
    <n v="68374.16"/>
    <s v="GL-500200"/>
    <s v="12%"/>
    <s v="APPROVED"/>
    <s v="INV-4325"/>
    <s v="   Urgent operational requirement!   "/>
    <m/>
  </r>
  <r>
    <s v="PO-2024-2487"/>
    <x v="217"/>
    <x v="0"/>
    <s v="Hardware Procurement"/>
    <s v="Prime Space Realty"/>
    <n v="160237.85"/>
    <s v="GL-500200"/>
    <s v="12%"/>
    <s v="APPROVED"/>
    <s v="INV-6249"/>
    <s v="System Auto-Generated"/>
    <m/>
  </r>
  <r>
    <s v="PO-2024-2488"/>
    <x v="218"/>
    <x v="0"/>
    <s v="Office Supplies"/>
    <s v="TechDistributors Inc"/>
    <n v="44689.37"/>
    <s v="GL-600300"/>
    <s v="12%"/>
    <s v="APPROVED"/>
    <s v="INV-9500"/>
    <s v="System Auto-Generated"/>
    <m/>
  </r>
  <r>
    <s v="PO-2024-2489"/>
    <x v="219"/>
    <x v="1"/>
    <s v="Office Supplies"/>
    <s v="PaperCorp Supplies"/>
    <n v="10152.799999999999"/>
    <s v="GL-500100"/>
    <s v="12%"/>
    <s v="APPROVED"/>
    <s v="INV-5306"/>
    <s v="System Auto-Generated"/>
    <m/>
  </r>
  <r>
    <s v="PO-2024-2492"/>
    <x v="220"/>
    <x v="2"/>
    <s v="Office Rent"/>
    <s v="TechDistributors Inc"/>
    <n v="106027.7"/>
    <s v="GL-500100"/>
    <s v="12%"/>
    <s v="APPROVED"/>
    <s v="INV-4203"/>
    <s v="System Auto-Generated"/>
    <m/>
  </r>
  <r>
    <s v="   "/>
    <x v="221"/>
    <x v="1"/>
    <s v="Cloud Infrastructure"/>
    <s v="CloudSaaS Corp"/>
    <n v="260374.09"/>
    <s v="GL-600300"/>
    <s v="12%"/>
    <s v="APPROVED"/>
    <s v="INV-5850"/>
    <s v="   Urgent operational requirement!   "/>
    <m/>
  </r>
  <r>
    <s v="PO-2024-2495"/>
    <x v="63"/>
    <x v="4"/>
    <s v="Office Supplies"/>
    <s v="Paper Corp"/>
    <n v="68077.850000000006"/>
    <s v="GL-600300"/>
    <s v="0%"/>
    <s v="APPROVED"/>
    <s v="INV-6029"/>
    <s v="System Auto-Generated"/>
    <m/>
  </r>
  <r>
    <s v="PO-2024-2496"/>
    <x v="222"/>
    <x v="2"/>
    <s v="Travel &amp; Entertainment"/>
    <s v="GlobalMedia Ads"/>
    <n v="189695.29"/>
    <s v="GL-600300"/>
    <s v="12%"/>
    <s v="APPROVED"/>
    <s v="INV-5020"/>
    <s v="System Auto-Generated"/>
    <m/>
  </r>
  <r>
    <s v="   "/>
    <x v="223"/>
    <x v="0"/>
    <s v="Software Licenses"/>
    <s v="TechDistributors Inc"/>
    <n v="34369.730000000003"/>
    <s v="GL-500100"/>
    <s v="12%"/>
    <s v="APPROVED"/>
    <s v="INV-5119"/>
    <s v="System Auto-Generated"/>
    <m/>
  </r>
  <r>
    <s v="PO-2024-2498"/>
    <x v="224"/>
    <x v="0"/>
    <s v="Office Supplies"/>
    <s v="TechDistributors Inc"/>
    <n v="223783.06"/>
    <s v="GL-500200"/>
    <s v="12%"/>
    <s v="APPROVED"/>
    <s v="INV-9619"/>
    <s v="System Auto-Generated"/>
    <m/>
  </r>
  <r>
    <s v="PO-2024-2499"/>
    <x v="225"/>
    <x v="2"/>
    <s v="Hardware Procurement"/>
    <s v="PaperCorp Supplies"/>
    <n v="214288.31"/>
    <s v="GL-600300"/>
    <s v="12%"/>
    <s v="APPROVED"/>
    <s v="INV-7831"/>
    <s v="   Urgent operational requirement!   "/>
    <m/>
  </r>
  <r>
    <s v="PO-2024-2500"/>
    <x v="226"/>
    <x v="3"/>
    <s v="Office Supplies"/>
    <s v="GlobalMedia Ads"/>
    <n v="116135.85"/>
    <s v="GL-500200"/>
    <s v="12%"/>
    <s v="APPROVED"/>
    <s v="INV-4907"/>
    <s v="System Auto-Generated"/>
    <m/>
  </r>
  <r>
    <s v="PO-2024-2501"/>
    <x v="15"/>
    <x v="4"/>
    <s v="Hardware Procurement"/>
    <s v="TechDistributors Inc"/>
    <n v="15725.08"/>
    <s v="GL-500100"/>
    <s v="12%"/>
    <s v="APPROVED"/>
    <s v="INV-6587"/>
    <s v="   Urgent operational requirement!   "/>
    <m/>
  </r>
  <r>
    <s v="PO-2024-2502"/>
    <x v="207"/>
    <x v="0"/>
    <s v="Office Supplies"/>
    <s v="GlobalMedia Ads"/>
    <n v="63063.72"/>
    <s v="GL-600300"/>
    <s v="12%"/>
    <s v="APPROVED"/>
    <s v="INV-5900"/>
    <s v="   Urgent operational requirement!   "/>
    <m/>
  </r>
  <r>
    <s v="PO-2024-2503"/>
    <x v="227"/>
    <x v="0"/>
    <s v="Travel &amp; Entertainment"/>
    <s v="GlobalMedia Ads"/>
    <n v="32814.9"/>
    <s v="GL-500200"/>
    <s v="12%"/>
    <s v="APPROVED"/>
    <s v="INV-9069"/>
    <s v="System Auto-Generated"/>
    <m/>
  </r>
  <r>
    <s v="PO-2024-2504"/>
    <x v="41"/>
    <x v="2"/>
    <s v="Travel &amp; Entertainment"/>
    <s v="GlobalMedia Ads"/>
    <n v="28777.57"/>
    <s v="GL-500200"/>
    <s v="12%"/>
    <s v="APPROVED"/>
    <s v="INV-4683"/>
    <s v="System Auto-Generated"/>
    <m/>
  </r>
  <r>
    <s v="PO-2024-2505"/>
    <x v="228"/>
    <x v="0"/>
    <s v="Office Supplies"/>
    <s v="Prime Space Realty"/>
    <n v="246620.68"/>
    <s v="GL-600300"/>
    <s v="12%"/>
    <s v="APPROVED"/>
    <s v="INV-7306"/>
    <s v="System Auto-Generated"/>
    <m/>
  </r>
  <r>
    <s v="PO-2024-2506"/>
    <x v="229"/>
    <x v="2"/>
    <s v="Software Licenses"/>
    <s v="Paper Corp"/>
    <n v="105272"/>
    <s v="GL-500100"/>
    <s v="12%"/>
    <s v="APPROVED"/>
    <s v="INV-4524"/>
    <s v="System Auto-Generated"/>
    <m/>
  </r>
  <r>
    <s v="PO-2024-2508"/>
    <x v="230"/>
    <x v="0"/>
    <s v="Hardware Procurement"/>
    <s v="CloudSaaS Corp"/>
    <n v="87871.88"/>
    <s v="GL-600300"/>
    <s v="12%"/>
    <s v="APPROVED"/>
    <s v="INV-7100"/>
    <s v="System Auto-Generated"/>
    <m/>
  </r>
  <r>
    <s v="PO-2024-2510"/>
    <x v="231"/>
    <x v="0"/>
    <s v="Software Licenses"/>
    <s v="GlobalMedia Ads"/>
    <n v="119774"/>
    <s v="GL-500200"/>
    <s v="12%"/>
    <s v="APPROVED"/>
    <s v="INV-4193"/>
    <s v="System Auto-Generated"/>
    <m/>
  </r>
  <r>
    <s v="PO-2024-2515"/>
    <x v="232"/>
    <x v="4"/>
    <s v="Office Rent"/>
    <s v="CloudSaaS Corp"/>
    <n v="132308.01"/>
    <s v="GL-500200"/>
    <s v="12%"/>
    <s v="APPROVED"/>
    <s v="INV-4171"/>
    <s v="System Auto-Generated"/>
    <m/>
  </r>
  <r>
    <s v="PO-2024-2518"/>
    <x v="10"/>
    <x v="0"/>
    <s v="Hardware Procurement"/>
    <s v="TechDistributors Inc"/>
    <n v="207248.07"/>
    <s v="GL-600300"/>
    <s v="12%"/>
    <s v="APPROVED"/>
    <m/>
    <s v="   Urgent operational requirement!   "/>
    <m/>
  </r>
  <r>
    <s v="PO-2024-2519"/>
    <x v="233"/>
    <x v="0"/>
    <s v="Digital Advertising"/>
    <s v="CloudSaaS Corp"/>
    <n v="25857.46"/>
    <s v="GL-500200"/>
    <s v="12%"/>
    <s v="APPROVED"/>
    <s v="INV-4250"/>
    <s v="System Auto-Generated"/>
    <m/>
  </r>
  <r>
    <s v="PO-2024-2521"/>
    <x v="234"/>
    <x v="2"/>
    <s v="Cloud Infrastructure"/>
    <s v="TechDistributors Inc"/>
    <n v="172710.12"/>
    <s v="GL-600300"/>
    <s v="12%"/>
    <s v="APPROVED"/>
    <s v="INV-9028"/>
    <s v="System Auto-Generated"/>
    <m/>
  </r>
  <r>
    <s v="   "/>
    <x v="235"/>
    <x v="4"/>
    <s v="Hardware Procurement"/>
    <s v="PaperCorp Supplies"/>
    <n v="57617.279999999999"/>
    <s v="GL-500200"/>
    <s v="12%"/>
    <s v="APPROVED"/>
    <s v="INV-5724"/>
    <s v="System Auto-Generated"/>
    <m/>
  </r>
  <r>
    <s v="PO-2024-2531"/>
    <x v="236"/>
    <x v="1"/>
    <s v="Software Licenses"/>
    <s v="PaperCorp Supplies"/>
    <n v="95932.05"/>
    <s v="GL-500200"/>
    <s v="12%"/>
    <s v="APPROVED"/>
    <s v="INV-7057"/>
    <s v="System Auto-Generated"/>
    <m/>
  </r>
  <r>
    <s v="PO-2024-2532"/>
    <x v="237"/>
    <x v="2"/>
    <s v="Office Rent"/>
    <s v="GlobalMedia Ads"/>
    <n v="178196.71"/>
    <s v="GL-500200"/>
    <s v="12%"/>
    <s v="APPROVED"/>
    <s v="INV-9274"/>
    <s v="System Auto-Generated"/>
    <m/>
  </r>
  <r>
    <s v="PO-2024-2533"/>
    <x v="238"/>
    <x v="4"/>
    <s v="Software Licenses"/>
    <s v="CloudSaaS Corp"/>
    <n v="244584.81"/>
    <s v="GL-600300"/>
    <s v="0%"/>
    <s v="APPROVED"/>
    <s v="INV-8160"/>
    <s v="   Urgent operational requirement!   "/>
    <m/>
  </r>
  <r>
    <s v="PO-2024-2534"/>
    <x v="239"/>
    <x v="1"/>
    <s v="Office Supplies"/>
    <s v="TechDistributors Inc"/>
    <n v="152204.22"/>
    <s v="GL-500100"/>
    <s v="12%"/>
    <s v="APPROVED"/>
    <s v="INV-7760"/>
    <s v="System Auto-Generated"/>
    <m/>
  </r>
  <r>
    <s v="PO-2024-2535"/>
    <x v="240"/>
    <x v="0"/>
    <s v="Travel &amp; Entertainment"/>
    <s v="Prime Space Realty"/>
    <n v="47684.21"/>
    <s v="GL-600300"/>
    <s v="12%"/>
    <s v="APPROVED"/>
    <m/>
    <s v="System Auto-Generated"/>
    <m/>
  </r>
  <r>
    <s v="PO-2024-2537"/>
    <x v="241"/>
    <x v="2"/>
    <s v="Office Supplies"/>
    <s v="TechDistributors Inc"/>
    <n v="58414.01"/>
    <s v="GL-600300"/>
    <s v="12%"/>
    <s v="APPROVED"/>
    <s v="INV-4498"/>
    <s v="System Auto-Generated"/>
    <m/>
  </r>
  <r>
    <s v="PO-2024-2538"/>
    <x v="242"/>
    <x v="0"/>
    <s v="Digital Advertising"/>
    <s v="CloudSaaS Corp"/>
    <n v="104437.31"/>
    <s v="GL-500100"/>
    <s v="12%"/>
    <s v="APPROVED"/>
    <s v="INV-7834"/>
    <s v="   Urgent operational requirement!   "/>
    <m/>
  </r>
  <r>
    <s v="PO-2024-2539"/>
    <x v="243"/>
    <x v="2"/>
    <s v="Cloud Infrastructure"/>
    <s v="CloudSaaS Corporation"/>
    <n v="132584.1"/>
    <s v="GL-500100"/>
    <s v="12%"/>
    <s v="APPROVED"/>
    <s v="INV-5578"/>
    <s v="   Urgent operational requirement!   "/>
    <m/>
  </r>
  <r>
    <s v="PO-2024-2540"/>
    <x v="244"/>
    <x v="1"/>
    <s v="Cloud Infrastructure"/>
    <s v="Prime Space Realty"/>
    <n v="30145.46"/>
    <s v="GL-500100"/>
    <s v="12%"/>
    <s v="APPROVED"/>
    <s v="INV-5548"/>
    <s v="System Auto-Generated"/>
    <m/>
  </r>
  <r>
    <s v="PO-2024-2541"/>
    <x v="245"/>
    <x v="0"/>
    <s v="Office Supplies"/>
    <s v="CloudSaaS Corp"/>
    <n v="107642.67"/>
    <s v="GL-500200"/>
    <s v="12%"/>
    <s v="APPROVED"/>
    <s v="INV-9014"/>
    <s v="System Auto-Generated"/>
    <m/>
  </r>
  <r>
    <s v="PO-2024-2542"/>
    <x v="246"/>
    <x v="4"/>
    <s v="Hardware Procurement"/>
    <s v="CloudSaaS Corp"/>
    <n v="246835.20000000001"/>
    <s v="GL-500100"/>
    <s v="12%"/>
    <s v="APPROVED"/>
    <s v="INV-9020"/>
    <s v="System Auto-Generated"/>
    <m/>
  </r>
  <r>
    <s v="PO-2024-2549"/>
    <x v="247"/>
    <x v="4"/>
    <s v="Digital Advertising"/>
    <s v="TechDistributors Inc"/>
    <n v="103216.78"/>
    <s v="GL-600300"/>
    <s v="12%"/>
    <s v="APPROVED"/>
    <s v="INV-8703"/>
    <s v="System Auto-Generated"/>
    <m/>
  </r>
  <r>
    <s v="PO-2024-2552"/>
    <x v="114"/>
    <x v="0"/>
    <s v="Software Licenses"/>
    <s v="TechDistributors Inc"/>
    <n v="143093.24"/>
    <s v="GL-600300"/>
    <s v="12%"/>
    <s v="APPROVED"/>
    <s v="INV-4566"/>
    <s v="System Auto-Generated"/>
    <m/>
  </r>
  <r>
    <s v="PO-2024-2554"/>
    <x v="6"/>
    <x v="0"/>
    <s v="Travel &amp; Entertainment"/>
    <s v="TechDistributors Inc"/>
    <n v="18210.189999999999"/>
    <s v="GL-500100"/>
    <s v="0%"/>
    <s v="APPROVED"/>
    <s v="INV-4202"/>
    <s v="System Auto-Generated"/>
    <m/>
  </r>
  <r>
    <s v="PO-2024-2555"/>
    <x v="248"/>
    <x v="1"/>
    <s v="Office Supplies"/>
    <s v="Tech Distributors"/>
    <n v="99143.9"/>
    <s v="GL-500200"/>
    <s v="12%"/>
    <s v="APPROVED"/>
    <s v="INV-7353"/>
    <s v="   Urgent operational requirement!   "/>
    <m/>
  </r>
  <r>
    <s v="PO-2024-2556"/>
    <x v="249"/>
    <x v="0"/>
    <s v="Office Rent"/>
    <s v="Prime Space Realty"/>
    <n v="253943.37"/>
    <s v="GL-600300"/>
    <s v="12%"/>
    <s v="APPROVED"/>
    <s v="INV-6233"/>
    <s v="System Auto-Generated"/>
    <m/>
  </r>
  <r>
    <s v="PO-2024-2557"/>
    <x v="250"/>
    <x v="1"/>
    <s v="Hardware Procurement"/>
    <s v="CloudSaaS Corp"/>
    <n v="94071.22"/>
    <s v="GL-600300"/>
    <s v="12%"/>
    <s v="APPROVED"/>
    <s v="INV-5299"/>
    <s v="   Urgent operational requirement!   "/>
    <m/>
  </r>
  <r>
    <s v="PO-2024-2560"/>
    <x v="251"/>
    <x v="1"/>
    <s v="Software Licenses"/>
    <s v="PaperCorp Supplies"/>
    <n v="271019.51"/>
    <s v="GL-600300"/>
    <s v="12%"/>
    <s v="APPROVED"/>
    <s v="INV-7912"/>
    <s v="   Urgent operational requirement!   "/>
    <m/>
  </r>
  <r>
    <s v="PO-2024-2561"/>
    <x v="25"/>
    <x v="1"/>
    <s v="Digital Advertising"/>
    <s v="CloudSaaS Corp"/>
    <n v="120788.96"/>
    <s v="GL-500100"/>
    <s v="12%"/>
    <s v="APPROVED"/>
    <s v="INV-7404"/>
    <s v="   Urgent operational requirement!   "/>
    <m/>
  </r>
  <r>
    <s v="PO-2024-2565"/>
    <x v="252"/>
    <x v="0"/>
    <s v="Digital Advertising"/>
    <s v="TechDistributors Inc"/>
    <n v="163454.76999999999"/>
    <s v="GL-600300"/>
    <s v="12%"/>
    <s v="APPROVED"/>
    <s v="INV-4045"/>
    <s v="   Urgent operational requirement!   "/>
    <m/>
  </r>
  <r>
    <s v="   "/>
    <x v="253"/>
    <x v="2"/>
    <s v="Digital Advertising"/>
    <s v="PaperCorp Supplies"/>
    <n v="207940.51"/>
    <s v="GL-500100"/>
    <s v="12%"/>
    <s v="APPROVED"/>
    <s v="INV-4542"/>
    <s v="System Auto-Generated"/>
    <m/>
  </r>
  <r>
    <s v="PO-2024-2569"/>
    <x v="254"/>
    <x v="0"/>
    <s v="Digital Advertising"/>
    <s v="GlobalMedia Ads"/>
    <n v="121985.83"/>
    <s v="GL-500200"/>
    <s v="0%"/>
    <s v="APPROVED"/>
    <s v="INV-5741"/>
    <s v="System Auto-Generated"/>
    <m/>
  </r>
  <r>
    <s v="PO-2024-2571"/>
    <x v="255"/>
    <x v="2"/>
    <s v="Cloud Infrastructure"/>
    <s v="PaperCorp Supplies"/>
    <n v="115939.45"/>
    <s v="GL-600300"/>
    <s v="12%"/>
    <s v="APPROVED"/>
    <s v="INV-4931"/>
    <s v="System Auto-Generated"/>
    <m/>
  </r>
  <r>
    <s v="PO-2024-2572"/>
    <x v="256"/>
    <x v="0"/>
    <s v="Hardware Procurement"/>
    <s v="TechDistributors Inc"/>
    <n v="158085"/>
    <s v="GL-500100"/>
    <s v="12%"/>
    <s v="APPROVED"/>
    <s v="INV-5999"/>
    <s v="System Auto-Generated"/>
    <m/>
  </r>
  <r>
    <s v="PO-2024-2575"/>
    <x v="257"/>
    <x v="3"/>
    <s v="Office Rent"/>
    <s v="TechDistributors Inc"/>
    <n v="132429.74"/>
    <s v="GL-500200"/>
    <s v="12%"/>
    <s v="APPROVED"/>
    <s v="INV-9201"/>
    <s v="   Urgent operational requirement!   "/>
    <m/>
  </r>
  <r>
    <s v="PO-2024-2576"/>
    <x v="165"/>
    <x v="0"/>
    <s v="Travel &amp; Entertainment"/>
    <s v="Prime Space Realty"/>
    <n v="33063.49"/>
    <s v="GL-500100"/>
    <s v="0%"/>
    <s v="APPROVED"/>
    <m/>
    <s v="System Auto-Generated"/>
    <m/>
  </r>
  <r>
    <s v="PO-2024-2578"/>
    <x v="41"/>
    <x v="0"/>
    <s v="Digital Advertising"/>
    <s v="CloudSaaS Corp"/>
    <n v="194188.45"/>
    <s v="GL-600300"/>
    <s v="12%"/>
    <s v="APPROVED"/>
    <s v="INV-9927"/>
    <s v="   Urgent operational requirement!   "/>
    <m/>
  </r>
  <r>
    <s v="PO-2024-2579"/>
    <x v="258"/>
    <x v="1"/>
    <s v="Cloud Infrastructure"/>
    <s v="TechDistributors Inc"/>
    <n v="15962.66"/>
    <s v="GL-500100"/>
    <s v="12%"/>
    <s v="APPROVED"/>
    <s v="INV-7186"/>
    <s v="System Auto-Generated"/>
    <m/>
  </r>
  <r>
    <s v="PO-2024-2583"/>
    <x v="259"/>
    <x v="2"/>
    <s v="Software Licenses"/>
    <s v="Paper Corp"/>
    <n v="220366.66"/>
    <s v="GL-500100"/>
    <s v="12%"/>
    <s v="APPROVED"/>
    <s v="INV-4874"/>
    <s v="   Urgent operational requirement!   "/>
    <m/>
  </r>
  <r>
    <s v="PO-2024-2584"/>
    <x v="260"/>
    <x v="1"/>
    <s v="Software Licenses"/>
    <s v="PaperCorp Supplies"/>
    <n v="35902.6"/>
    <s v="GL-500200"/>
    <s v="12%"/>
    <s v="APPROVED"/>
    <s v="INV-4234"/>
    <s v="System Auto-Generated"/>
    <m/>
  </r>
  <r>
    <s v="PO-2024-2585"/>
    <x v="54"/>
    <x v="2"/>
    <s v="Cloud Infrastructure"/>
    <s v="Tech Distributors"/>
    <m/>
    <s v="GL-500200"/>
    <s v="12%"/>
    <s v="APPROVED"/>
    <s v="INV-9723"/>
    <s v="System Auto-Generated"/>
    <m/>
  </r>
  <r>
    <s v="PO-2024-2587"/>
    <x v="261"/>
    <x v="2"/>
    <s v="Cloud Infrastructure"/>
    <s v="CloudSaaS Corp"/>
    <n v="26125.14"/>
    <s v="GL-600300"/>
    <s v="12%"/>
    <s v="APPROVED"/>
    <s v="INV-4341"/>
    <s v="System Auto-Generated"/>
    <m/>
  </r>
  <r>
    <s v="PO-2024-2589"/>
    <x v="182"/>
    <x v="0"/>
    <s v="Office Rent"/>
    <s v="Prime Space Realty"/>
    <n v="96497.99"/>
    <s v="GL-500200"/>
    <s v="12%"/>
    <s v="APPROVED"/>
    <s v="INV-7195"/>
    <s v="System Auto-Generated"/>
    <m/>
  </r>
  <r>
    <s v="PO-2024-2595"/>
    <x v="262"/>
    <x v="0"/>
    <s v="Software Licenses"/>
    <s v="GlobalMedia Ads"/>
    <n v="103097.68"/>
    <s v="GL-500100"/>
    <s v="12%"/>
    <s v="APPROVED"/>
    <m/>
    <s v="   Urgent operational requirement!   "/>
    <m/>
  </r>
  <r>
    <s v="PO-2024-2596"/>
    <x v="172"/>
    <x v="2"/>
    <s v="Software Licenses"/>
    <s v="TechDistributors Inc"/>
    <n v="164200.82"/>
    <s v="GL-600300"/>
    <s v="12%"/>
    <s v="APPROVED"/>
    <s v="INV-4011"/>
    <s v="System Auto-Generated"/>
    <m/>
  </r>
  <r>
    <s v="PO-2024-2597"/>
    <x v="263"/>
    <x v="4"/>
    <s v="Hardware Procurement"/>
    <s v="Prime Space Realty"/>
    <n v="169299.09"/>
    <s v="GL-500100"/>
    <s v="12%"/>
    <s v="APPROVED"/>
    <s v="INV-6410"/>
    <s v="System Auto-Generated"/>
    <m/>
  </r>
  <r>
    <s v="PO-2024-2598"/>
    <x v="264"/>
    <x v="2"/>
    <s v="Travel &amp; Entertainment"/>
    <s v="CloudSaaS Corp"/>
    <n v="224038.56"/>
    <s v="GL-500100"/>
    <s v="12%"/>
    <s v="APPROVED"/>
    <s v="INV-6416"/>
    <s v="System Auto-Generated"/>
    <m/>
  </r>
  <r>
    <s v="PO-2024-2599"/>
    <x v="47"/>
    <x v="1"/>
    <s v="Digital Advertising"/>
    <s v="GlobalMedia Ads"/>
    <n v="117560.16"/>
    <s v="GL-600300"/>
    <s v="12%"/>
    <s v="APPROVED"/>
    <s v="INV-5364"/>
    <s v="   Urgent operational requirement!   "/>
    <m/>
  </r>
  <r>
    <s v="PO-2024-2602"/>
    <x v="265"/>
    <x v="2"/>
    <s v="Digital Advertising"/>
    <s v="GlobalMedia Ads"/>
    <n v="186169.9"/>
    <s v="GL-500200"/>
    <s v="12%"/>
    <s v="APPROVED"/>
    <m/>
    <s v="System Auto-Generated"/>
    <m/>
  </r>
  <r>
    <s v="PO-2024-2604"/>
    <x v="266"/>
    <x v="0"/>
    <s v="Digital Advertising"/>
    <s v="TechDistributors Inc"/>
    <n v="85725.92"/>
    <s v="GL-600300"/>
    <s v="12%"/>
    <s v="APPROVED"/>
    <s v="INV-9751"/>
    <s v="System Auto-Generated"/>
    <m/>
  </r>
  <r>
    <s v="PO-2024-2605"/>
    <x v="267"/>
    <x v="2"/>
    <s v="Office Supplies"/>
    <s v="Prime Space Realty"/>
    <n v="74245.009999999995"/>
    <s v="GL-500100"/>
    <s v="12%"/>
    <s v="APPROVED"/>
    <s v="INV-7955"/>
    <s v="   Urgent operational requirement!   "/>
    <m/>
  </r>
  <r>
    <s v="PO-2024-2608"/>
    <x v="268"/>
    <x v="4"/>
    <s v="Office Rent"/>
    <s v="GlobalMedia Ads"/>
    <n v="121644.81"/>
    <s v="GL-500100"/>
    <s v="12%"/>
    <s v="APPROVED"/>
    <s v="INV-8944"/>
    <s v="System Auto-Generated"/>
    <m/>
  </r>
  <r>
    <s v="PO-2024-2609"/>
    <x v="269"/>
    <x v="4"/>
    <s v="Cloud Infrastructure"/>
    <s v="PaperCorp Supplies"/>
    <n v="145092.82999999999"/>
    <s v="GL-600300"/>
    <s v="12%"/>
    <s v="APPROVED"/>
    <s v="INV-9401"/>
    <s v="   Urgent operational requirement!   "/>
    <m/>
  </r>
  <r>
    <s v="PO-2024-2610"/>
    <x v="270"/>
    <x v="0"/>
    <s v="Digital Advertising"/>
    <s v="GlobalMedia Ads"/>
    <n v="141772.04999999999"/>
    <s v="GL-600300"/>
    <s v="12%"/>
    <s v="APPROVED"/>
    <m/>
    <s v="System Auto-Generated"/>
    <m/>
  </r>
  <r>
    <s v="PO-2024-2611"/>
    <x v="156"/>
    <x v="1"/>
    <s v="Software Licenses"/>
    <s v="TechDistributors Inc"/>
    <n v="293577.77"/>
    <s v="GL-500100"/>
    <s v="12%"/>
    <s v="APPROVED"/>
    <s v="INV-6407"/>
    <s v="System Auto-Generated"/>
    <m/>
  </r>
  <r>
    <s v="PO-2024-2616"/>
    <x v="271"/>
    <x v="1"/>
    <s v="Software Licenses"/>
    <s v="TechDistributors Inc"/>
    <n v="255973"/>
    <s v="GL-600300"/>
    <s v="12%"/>
    <s v="APPROVED"/>
    <s v="INV-7381"/>
    <s v="System Auto-Generated"/>
    <m/>
  </r>
  <r>
    <s v="PO-2024-2617"/>
    <x v="69"/>
    <x v="0"/>
    <s v="Office Supplies"/>
    <s v="GlobalMedia Ads"/>
    <n v="39470.449999999997"/>
    <s v="GL-600300"/>
    <s v="12%"/>
    <s v="APPROVED"/>
    <m/>
    <s v="System Auto-Generated"/>
    <m/>
  </r>
  <r>
    <s v="PO-2024-2621"/>
    <x v="272"/>
    <x v="0"/>
    <s v="Software Licenses"/>
    <s v="GlobalMedia Ads"/>
    <n v="64835"/>
    <s v="GL-500100"/>
    <s v="0%"/>
    <s v="APPROVED"/>
    <s v="INV-9976"/>
    <s v="System Auto-Generated"/>
    <m/>
  </r>
  <r>
    <s v="PO-2024-2623"/>
    <x v="273"/>
    <x v="4"/>
    <s v="Digital Advertising"/>
    <s v="GlobalMedia Ads"/>
    <n v="121998.67"/>
    <s v="GL-600300"/>
    <s v="0%"/>
    <s v="APPROVED"/>
    <m/>
    <s v="System Auto-Generated"/>
    <m/>
  </r>
  <r>
    <s v="PO-2024-2625"/>
    <x v="274"/>
    <x v="3"/>
    <s v="Software Licenses"/>
    <s v="PaperCorp Supplies"/>
    <n v="216598.44"/>
    <s v="GL-600300"/>
    <s v="12%"/>
    <s v="APPROVED"/>
    <s v="INV-7551"/>
    <s v="System Auto-Generated"/>
    <m/>
  </r>
  <r>
    <s v="PO-2024-2631"/>
    <x v="269"/>
    <x v="1"/>
    <s v="Hardware Procurement"/>
    <s v="Prime Space Realty"/>
    <n v="119045.46"/>
    <s v="GL-500200"/>
    <s v="12%"/>
    <s v="APPROVED"/>
    <s v="INV-5554"/>
    <s v="System Auto-Generated"/>
    <m/>
  </r>
  <r>
    <s v="PO-2024-2632"/>
    <x v="275"/>
    <x v="0"/>
    <s v="Travel &amp; Entertainment"/>
    <s v="PaperCorp Supplies"/>
    <n v="185678.29"/>
    <s v="GL-500100"/>
    <s v="12%"/>
    <s v="APPROVED"/>
    <s v="INV-5126"/>
    <s v="System Auto-Generated"/>
    <m/>
  </r>
  <r>
    <s v="PO-2024-2633"/>
    <x v="276"/>
    <x v="1"/>
    <s v="Office Rent"/>
    <s v="CloudSaaS Corp"/>
    <n v="125201.46"/>
    <s v="GL-600300"/>
    <s v="12%"/>
    <s v="APPROVED"/>
    <s v="INV-5017"/>
    <s v="System Auto-Generated"/>
    <m/>
  </r>
  <r>
    <s v="PO-2024-2634"/>
    <x v="277"/>
    <x v="2"/>
    <s v="Hardware Procurement"/>
    <s v="TechDistributors Inc"/>
    <n v="157807.28"/>
    <s v="GL-500200"/>
    <s v="12%"/>
    <s v="APPROVED"/>
    <s v="INV-6944"/>
    <s v="System Auto-Generated"/>
    <m/>
  </r>
  <r>
    <s v="PO-2024-2635"/>
    <x v="278"/>
    <x v="1"/>
    <s v="Software Licenses"/>
    <s v="PaperCorp Supplies"/>
    <n v="244226.08"/>
    <s v="GL-500200"/>
    <s v="12%"/>
    <s v="APPROVED"/>
    <s v="INV-9306"/>
    <s v="System Auto-Generated"/>
    <m/>
  </r>
  <r>
    <s v="PO-2024-2636"/>
    <x v="208"/>
    <x v="0"/>
    <s v="Travel &amp; Entertainment"/>
    <s v="PaperCorp Supplies"/>
    <n v="124460.62"/>
    <s v="GL-600300"/>
    <s v="12%"/>
    <s v="APPROVED"/>
    <s v="INV-6274"/>
    <s v="System Auto-Generated"/>
    <m/>
  </r>
  <r>
    <s v="PO-2024-2638"/>
    <x v="139"/>
    <x v="2"/>
    <s v="Travel &amp; Entertainment"/>
    <s v="TechDistributors Inc"/>
    <n v="104084"/>
    <s v="GL-500200"/>
    <s v="0%"/>
    <s v="APPROVED"/>
    <s v="INV-4519"/>
    <s v="System Auto-Generated"/>
    <m/>
  </r>
  <r>
    <s v="PO-2024-2639"/>
    <x v="279"/>
    <x v="0"/>
    <s v="Cloud Infrastructure"/>
    <s v="Prime Space Realty"/>
    <n v="12921.98"/>
    <s v="GL-600300"/>
    <s v="12%"/>
    <s v="APPROVED"/>
    <s v="INV-7999"/>
    <s v="   Urgent operational requirement!   "/>
    <m/>
  </r>
  <r>
    <s v="PO-2024-2640"/>
    <x v="280"/>
    <x v="0"/>
    <s v="Office Supplies"/>
    <s v="PaperCorp Supplies"/>
    <n v="122501.11"/>
    <s v="GL-600300"/>
    <s v="12%"/>
    <s v="APPROVED"/>
    <s v="INV-8736"/>
    <s v="System Auto-Generated"/>
    <m/>
  </r>
  <r>
    <s v="PO-2024-2641"/>
    <x v="281"/>
    <x v="2"/>
    <s v="Office Supplies"/>
    <s v="CloudSaaS Corp"/>
    <n v="10249.59"/>
    <s v="GL-500200"/>
    <s v="12%"/>
    <s v="APPROVED"/>
    <s v="INV-9985"/>
    <s v="System Auto-Generated"/>
    <m/>
  </r>
  <r>
    <s v="PO-2024-2642"/>
    <x v="282"/>
    <x v="0"/>
    <s v="Office Supplies"/>
    <s v="PaperCorp Supplies"/>
    <n v="9500.83"/>
    <s v="GL-500200"/>
    <s v="12%"/>
    <s v="APPROVED"/>
    <s v="INV-8601"/>
    <s v="System Auto-Generated"/>
    <m/>
  </r>
  <r>
    <s v="PO-2024-2646"/>
    <x v="229"/>
    <x v="2"/>
    <s v="Software Licenses"/>
    <s v="GlobalMedia Ads"/>
    <n v="115385.13"/>
    <s v="GL-500100"/>
    <s v="12%"/>
    <s v="APPROVED"/>
    <s v="INV-9542"/>
    <s v="System Auto-Generated"/>
    <m/>
  </r>
  <r>
    <s v="PO-2024-2648"/>
    <x v="283"/>
    <x v="1"/>
    <s v="Office Supplies"/>
    <s v="PaperCorp Supplies"/>
    <n v="55887.86"/>
    <s v="GL-500100"/>
    <s v="12%"/>
    <s v="APPROVED"/>
    <s v="INV-4972"/>
    <s v="System Auto-Generated"/>
    <m/>
  </r>
  <r>
    <s v="PO-2024-2649"/>
    <x v="284"/>
    <x v="2"/>
    <s v="Digital Advertising"/>
    <s v="GlobalMedia Ads"/>
    <n v="85329.16"/>
    <s v="GL-600300"/>
    <s v="12%"/>
    <s v="APPROVED"/>
    <s v="INV-8958"/>
    <s v="System Auto-Generated"/>
    <m/>
  </r>
  <r>
    <s v="PO-2024-2650"/>
    <x v="285"/>
    <x v="3"/>
    <s v="Office Rent"/>
    <s v="Prime Space Realty"/>
    <m/>
    <s v="GL-500100"/>
    <s v="0%"/>
    <s v="APPROVED"/>
    <s v="INV-4575"/>
    <s v="System Auto-Generated"/>
    <m/>
  </r>
  <r>
    <s v="PO-2024-2651"/>
    <x v="286"/>
    <x v="1"/>
    <s v="Office Supplies"/>
    <s v="GlobalMedia Ads"/>
    <n v="128070.83"/>
    <s v="GL-500100"/>
    <s v="12%"/>
    <s v="APPROVED"/>
    <s v="INV-9011"/>
    <s v="   Urgent operational requirement!   "/>
    <m/>
  </r>
  <r>
    <s v="PO-2024-2658"/>
    <x v="49"/>
    <x v="0"/>
    <s v="Hardware Procurement"/>
    <s v="PaperCorp Supplies"/>
    <n v="6953.16"/>
    <s v="GL-500200"/>
    <s v="12%"/>
    <s v="APPROVED"/>
    <s v="INV-9781"/>
    <s v="System Auto-Generated"/>
    <m/>
  </r>
  <r>
    <s v="PO-2024-2659"/>
    <x v="287"/>
    <x v="2"/>
    <s v="Hardware Procurement"/>
    <s v="TechDistributors Inc"/>
    <n v="126819.03"/>
    <s v="GL-600300"/>
    <s v="12%"/>
    <s v="APPROVED"/>
    <s v="INV-6073"/>
    <s v="System Auto-Generated"/>
    <m/>
  </r>
  <r>
    <s v="PO-2024-2666"/>
    <x v="288"/>
    <x v="0"/>
    <s v="Office Rent"/>
    <s v="GlobalMedia Ads"/>
    <n v="39353.379999999997"/>
    <s v="GL-600300"/>
    <s v="12%"/>
    <s v="APPROVED"/>
    <s v="INV-9186"/>
    <s v="System Auto-Generated"/>
    <m/>
  </r>
  <r>
    <s v="PO-2024-2668"/>
    <x v="64"/>
    <x v="0"/>
    <s v="Office Rent"/>
    <s v="TechDistributors Inc"/>
    <n v="115438.83"/>
    <s v="GL-500200"/>
    <s v="12%"/>
    <s v="APPROVED"/>
    <s v="INV-9565"/>
    <s v="System Auto-Generated"/>
    <m/>
  </r>
  <r>
    <s v="PO-2024-2670"/>
    <x v="289"/>
    <x v="0"/>
    <s v="Cloud Infrastructure"/>
    <s v="TechDistributors Inc"/>
    <n v="64698.67"/>
    <s v="GL-500100"/>
    <s v="12%"/>
    <s v="APPROVED"/>
    <s v="INV-7565"/>
    <s v="System Auto-Generated"/>
    <m/>
  </r>
  <r>
    <s v="PO-2024-2672"/>
    <x v="290"/>
    <x v="0"/>
    <s v="Software Licenses"/>
    <s v="TechDistributors Inc"/>
    <n v="209901.3"/>
    <s v="GL-600300"/>
    <s v="12%"/>
    <s v="APPROVED"/>
    <s v="INV-4351"/>
    <s v="System Auto-Generated"/>
    <m/>
  </r>
  <r>
    <s v="PO-2024-2673"/>
    <x v="291"/>
    <x v="2"/>
    <s v="Cloud Infrastructure"/>
    <s v="TechDistributors Inc"/>
    <n v="188173.06"/>
    <s v="GL-500200"/>
    <s v="12%"/>
    <s v="APPROVED"/>
    <s v="INV-4582"/>
    <s v="System Auto-Generated"/>
    <m/>
  </r>
  <r>
    <s v="PO-2024-2674"/>
    <x v="292"/>
    <x v="1"/>
    <s v="Office Supplies"/>
    <s v="TechDistributors Inc"/>
    <n v="48825.29"/>
    <s v="GL-500200"/>
    <s v="0%"/>
    <s v="APPROVED"/>
    <s v="INV-4191"/>
    <s v="System Auto-Generated"/>
    <m/>
  </r>
  <r>
    <s v="PO-2024-2676"/>
    <x v="293"/>
    <x v="1"/>
    <s v="Hardware Procurement"/>
    <s v="PaperCorp Supplies"/>
    <n v="267398.59000000003"/>
    <s v="GL-500200"/>
    <s v="12%"/>
    <s v="APPROVED"/>
    <s v="INV-6631"/>
    <s v="System Auto-Generated"/>
    <m/>
  </r>
  <r>
    <s v="PO-2024-2677"/>
    <x v="294"/>
    <x v="1"/>
    <s v="Office Rent"/>
    <s v="CloudSaaS Corp"/>
    <n v="203057.88"/>
    <s v="GL-500200"/>
    <s v="12%"/>
    <s v="APPROVED"/>
    <s v="INV-7728"/>
    <s v="System Auto-Generated"/>
    <m/>
  </r>
  <r>
    <s v="PO-2024-2678"/>
    <x v="295"/>
    <x v="0"/>
    <s v="Hardware Procurement"/>
    <s v="CloudSaaS Corp"/>
    <n v="226338.22"/>
    <s v="GL-500200"/>
    <s v="12%"/>
    <s v="APPROVED"/>
    <s v="INV-4933"/>
    <s v="System Auto-Generated"/>
    <m/>
  </r>
  <r>
    <s v="PO-2024-2680"/>
    <x v="296"/>
    <x v="0"/>
    <s v="Office Rent"/>
    <s v="GlobalMedia Ads"/>
    <n v="203081.66"/>
    <s v="GL-600300"/>
    <s v="12%"/>
    <s v="APPROVED"/>
    <m/>
    <s v="System Auto-Generated"/>
    <m/>
  </r>
  <r>
    <s v="PO-2024-2682"/>
    <x v="21"/>
    <x v="0"/>
    <s v="Office Supplies"/>
    <s v="Paper Corp"/>
    <n v="182564"/>
    <s v="GL-500200"/>
    <s v="12%"/>
    <s v="APPROVED"/>
    <s v="INV-7337"/>
    <s v="   Urgent operational requirement!   "/>
    <m/>
  </r>
  <r>
    <s v="PO-2024-2685"/>
    <x v="297"/>
    <x v="0"/>
    <s v="Travel &amp; Entertainment"/>
    <s v="PaperCorp Supplies"/>
    <n v="94400.11"/>
    <s v="GL-500200"/>
    <s v="12%"/>
    <s v="APPROVED"/>
    <s v="INV-7851"/>
    <s v="   Urgent operational requirement!   "/>
    <m/>
  </r>
  <r>
    <s v="   "/>
    <x v="298"/>
    <x v="2"/>
    <s v="Digital Advertising"/>
    <s v="PaperCorp Supplies"/>
    <n v="118533.2"/>
    <s v="GL-500200"/>
    <s v="12%"/>
    <s v="APPROVED"/>
    <s v="INV-9911"/>
    <s v="   Urgent operational requirement!   "/>
    <m/>
  </r>
  <r>
    <s v="PO-2024-2690"/>
    <x v="299"/>
    <x v="0"/>
    <s v="Hardware Procurement"/>
    <s v="CloudSaaS Corp"/>
    <n v="71078.77"/>
    <s v="GL-500200"/>
    <s v="0%"/>
    <s v="APPROVED"/>
    <s v="INV-4415"/>
    <s v="System Auto-Generated"/>
    <m/>
  </r>
  <r>
    <s v="PO-2024-2691"/>
    <x v="300"/>
    <x v="2"/>
    <s v="Software Licenses"/>
    <s v="CloudSaaS Corp"/>
    <n v="284781.82"/>
    <s v="GL-600300"/>
    <s v="12%"/>
    <s v="APPROVED"/>
    <s v="INV-7630"/>
    <s v="System Auto-Generated"/>
    <m/>
  </r>
  <r>
    <s v="PO-2024-2692"/>
    <x v="301"/>
    <x v="2"/>
    <s v="Travel &amp; Entertainment"/>
    <s v="GlobalMedia Ads"/>
    <n v="54275.65"/>
    <s v="GL-500200"/>
    <s v="12%"/>
    <s v="APPROVED"/>
    <s v="INV-5063"/>
    <s v="System Auto-Generated"/>
    <m/>
  </r>
  <r>
    <s v="PO-2024-2693"/>
    <x v="302"/>
    <x v="1"/>
    <s v="Hardware Procurement"/>
    <s v="CloudSaaS Corporation"/>
    <n v="222417.23"/>
    <s v="GL-500200"/>
    <s v="12%"/>
    <s v="APPROVED"/>
    <s v="INV-9528"/>
    <s v="   Urgent operational requirement!   "/>
    <m/>
  </r>
  <r>
    <s v="   "/>
    <x v="303"/>
    <x v="2"/>
    <s v="Travel &amp; Entertainment"/>
    <s v="TechDistributors Inc"/>
    <n v="181934.51"/>
    <s v="GL-500100"/>
    <s v="12%"/>
    <s v="APPROVED"/>
    <s v="INV-4539"/>
    <s v="System Auto-Generated"/>
    <m/>
  </r>
  <r>
    <s v="   "/>
    <x v="278"/>
    <x v="0"/>
    <s v="Software Licenses"/>
    <s v="Prime Space Realty"/>
    <n v="99468.78"/>
    <s v="GL-500100"/>
    <s v="12%"/>
    <s v="APPROVED"/>
    <s v="INV-7293"/>
    <s v="   Urgent operational requirement!   "/>
    <m/>
  </r>
  <r>
    <s v="PO-2024-2700"/>
    <x v="7"/>
    <x v="3"/>
    <s v="Hardware Procurement"/>
    <s v="GlobalMedia Ads"/>
    <n v="69768.929999999993"/>
    <s v="GL-600300"/>
    <s v="12%"/>
    <s v="APPROVED"/>
    <s v="INV-6248"/>
    <s v="System Auto-Generated"/>
    <m/>
  </r>
  <r>
    <s v="PO-2024-2704"/>
    <x v="304"/>
    <x v="0"/>
    <s v="Office Rent"/>
    <s v="TechDistributors Inc"/>
    <n v="130038"/>
    <s v="GL-600300"/>
    <s v="12%"/>
    <s v="APPROVED"/>
    <s v="INV-9622"/>
    <s v="System Auto-Generated"/>
    <m/>
  </r>
  <r>
    <s v="PO-2024-2706"/>
    <x v="90"/>
    <x v="2"/>
    <s v="Travel &amp; Entertainment"/>
    <s v="PaperCorp Supplies"/>
    <n v="62149.01"/>
    <s v="GL-500100"/>
    <s v="12%"/>
    <s v="APPROVED"/>
    <s v="INV-4653"/>
    <s v="System Auto-Generated"/>
    <m/>
  </r>
  <r>
    <s v="PO-2024-2708"/>
    <x v="164"/>
    <x v="2"/>
    <s v="Cloud Infrastructure"/>
    <s v="TechDistributors Inc"/>
    <n v="228253.63"/>
    <s v="GL-600300"/>
    <s v="12%"/>
    <s v="APPROVED"/>
    <s v="INV-4145"/>
    <s v="System Auto-Generated"/>
    <m/>
  </r>
  <r>
    <s v="PO-2024-2710"/>
    <x v="305"/>
    <x v="1"/>
    <s v="Office Supplies"/>
    <s v="PaperCorp Supplies"/>
    <n v="353293.58"/>
    <s v="GL-500100"/>
    <s v="12%"/>
    <s v="APPROVED"/>
    <s v="INV-6893"/>
    <s v="System Auto-Generated"/>
    <m/>
  </r>
  <r>
    <s v="PO-2024-2713"/>
    <x v="27"/>
    <x v="4"/>
    <s v="Software Licenses"/>
    <s v="GlobalMedia Ads"/>
    <n v="205180.25"/>
    <s v="GL-500100"/>
    <s v="12%"/>
    <s v="APPROVED"/>
    <s v="INV-7156"/>
    <s v="System Auto-Generated"/>
    <m/>
  </r>
  <r>
    <s v="PO-2024-2715"/>
    <x v="306"/>
    <x v="4"/>
    <s v="Hardware Procurement"/>
    <s v="Prime Space Realty"/>
    <m/>
    <s v="GL-500100"/>
    <s v="0%"/>
    <s v="APPROVED"/>
    <m/>
    <s v="System Auto-Generated"/>
    <m/>
  </r>
  <r>
    <s v="PO-2024-2716"/>
    <x v="307"/>
    <x v="1"/>
    <s v="Hardware Procurement"/>
    <s v="CloudSaaS Corp"/>
    <n v="83027.520000000004"/>
    <s v="GL-600300"/>
    <s v="12%"/>
    <s v="APPROVED"/>
    <s v="INV-6008"/>
    <s v="   Urgent operational requirement!   "/>
    <m/>
  </r>
  <r>
    <s v="PO-2024-2717"/>
    <x v="153"/>
    <x v="1"/>
    <s v="Office Rent"/>
    <s v="CloudSaaS Corp"/>
    <n v="80212.44"/>
    <s v="GL-500200"/>
    <s v="12%"/>
    <s v="APPROVED"/>
    <m/>
    <s v="System Auto-Generated"/>
    <m/>
  </r>
  <r>
    <s v="PO-2024-2721"/>
    <x v="18"/>
    <x v="4"/>
    <s v="Digital Advertising"/>
    <s v="TechDistributors Inc"/>
    <n v="102069.5"/>
    <s v="GL-600300"/>
    <s v="12%"/>
    <s v="APPROVED"/>
    <s v="INV-8665"/>
    <s v="   Urgent operational requirement!   "/>
    <m/>
  </r>
  <r>
    <s v="PO-2024-2722"/>
    <x v="308"/>
    <x v="1"/>
    <s v="Software Licenses"/>
    <s v="Prime Space Realty"/>
    <n v="12777.98"/>
    <s v="GL-500200"/>
    <s v="12%"/>
    <s v="APPROVED"/>
    <s v="INV-7766"/>
    <s v="System Auto-Generated"/>
    <m/>
  </r>
  <r>
    <s v="PO-2024-2724"/>
    <x v="309"/>
    <x v="1"/>
    <s v="Digital Advertising"/>
    <s v="Prime Space Realty"/>
    <n v="264308.84999999998"/>
    <s v="GL-600300"/>
    <s v="12%"/>
    <s v="APPROVED"/>
    <s v="INV-6184"/>
    <s v="System Auto-Generated"/>
    <m/>
  </r>
  <r>
    <s v="PO-2024-2728"/>
    <x v="310"/>
    <x v="1"/>
    <s v="Office Rent"/>
    <s v="GlobalMedia Ads"/>
    <n v="35159.629999999997"/>
    <s v="GL-600300"/>
    <s v="12%"/>
    <s v="APPROVED"/>
    <s v="INV-8440"/>
    <s v="System Auto-Generated"/>
    <m/>
  </r>
  <r>
    <s v="PO-2024-2733"/>
    <x v="311"/>
    <x v="1"/>
    <s v="Digital Advertising"/>
    <s v="Prime Space Realty"/>
    <n v="192784.63"/>
    <s v="GL-500100"/>
    <s v="12%"/>
    <s v="APPROVED"/>
    <s v="INV-5362"/>
    <s v="System Auto-Generated"/>
    <m/>
  </r>
  <r>
    <s v="PO-2024-2736"/>
    <x v="312"/>
    <x v="0"/>
    <s v="Office Supplies"/>
    <s v="CloudSaaS Corp"/>
    <n v="91364.7"/>
    <s v="GL-500100"/>
    <s v="12%"/>
    <s v="APPROVED"/>
    <s v="INV-7739"/>
    <s v="System Auto-Generated"/>
    <m/>
  </r>
  <r>
    <s v="PO-2024-2738"/>
    <x v="313"/>
    <x v="1"/>
    <s v="Travel &amp; Entertainment"/>
    <s v="GlobalMedia Ads"/>
    <n v="221227.91"/>
    <s v="GL-600300"/>
    <s v="12%"/>
    <s v="APPROVED"/>
    <s v="INV-5218"/>
    <s v="System Auto-Generated"/>
    <m/>
  </r>
  <r>
    <s v="PO-2024-2739"/>
    <x v="314"/>
    <x v="1"/>
    <s v="Digital Advertising"/>
    <s v="GlobalMedia Ads"/>
    <n v="150885.78"/>
    <s v="GL-500100"/>
    <s v="12%"/>
    <s v="APPROVED"/>
    <s v="INV-7763"/>
    <s v="   Urgent operational requirement!   "/>
    <m/>
  </r>
  <r>
    <s v="PO-2024-2741"/>
    <x v="315"/>
    <x v="2"/>
    <s v="Digital Advertising"/>
    <s v="CloudSaaS Corp"/>
    <n v="184395.28"/>
    <s v="GL-600300"/>
    <s v="12%"/>
    <s v="APPROVED"/>
    <s v="INV-9004"/>
    <s v="System Auto-Generated"/>
    <m/>
  </r>
  <r>
    <s v="PO-2024-2742"/>
    <x v="192"/>
    <x v="4"/>
    <s v="Software Licenses"/>
    <s v="CloudSaaS Corporation"/>
    <n v="188597.64"/>
    <s v="GL-500200"/>
    <s v="12%"/>
    <s v="APPROVED"/>
    <m/>
    <s v="System Auto-Generated"/>
    <m/>
  </r>
  <r>
    <s v="PO-2024-2747"/>
    <x v="316"/>
    <x v="4"/>
    <s v="Travel &amp; Entertainment"/>
    <s v="CloudSaaS Corp"/>
    <n v="185728.48"/>
    <s v="GL-600300"/>
    <s v="12%"/>
    <s v="APPROVED"/>
    <s v="INV-8988"/>
    <s v="System Auto-Generated"/>
    <m/>
  </r>
  <r>
    <s v="PO-2024-2749"/>
    <x v="28"/>
    <x v="0"/>
    <s v="Office Rent"/>
    <s v="GlobalMedia Ads"/>
    <n v="107259.15"/>
    <s v="GL-600300"/>
    <s v="12%"/>
    <s v="APPROVED"/>
    <s v="INV-7481"/>
    <s v="   Urgent operational requirement!   "/>
    <m/>
  </r>
  <r>
    <s v="PO-2024-2750"/>
    <x v="317"/>
    <x v="3"/>
    <s v="Software Licenses"/>
    <s v="PaperCorp Supplies"/>
    <n v="138152.64000000001"/>
    <s v="GL-500200"/>
    <s v="12%"/>
    <s v="APPROVED"/>
    <s v="INV-5710"/>
    <s v="System Auto-Generated"/>
    <m/>
  </r>
  <r>
    <s v="PO-2024-2752"/>
    <x v="318"/>
    <x v="0"/>
    <s v="Software Licenses"/>
    <s v="TechDistributors Inc"/>
    <n v="97391.13"/>
    <s v="GL-600300"/>
    <s v="0%"/>
    <s v="APPROVED"/>
    <s v="INV-5645"/>
    <s v="System Auto-Generated"/>
    <m/>
  </r>
  <r>
    <s v="PO-2024-2753"/>
    <x v="30"/>
    <x v="1"/>
    <s v="Digital Advertising"/>
    <s v="GlobalMedia Ads"/>
    <n v="68211.12"/>
    <s v="GL-500100"/>
    <s v="12%"/>
    <s v="APPROVED"/>
    <s v="INV-6051"/>
    <s v="System Auto-Generated"/>
    <m/>
  </r>
  <r>
    <s v="PO-2024-2756"/>
    <x v="134"/>
    <x v="0"/>
    <s v="Digital Advertising"/>
    <s v="GlobalMedia Ads"/>
    <n v="118908.92"/>
    <s v="GL-500100"/>
    <s v="12%"/>
    <s v="APPROVED"/>
    <m/>
    <s v="   Urgent operational requirement!   "/>
    <m/>
  </r>
  <r>
    <s v="PO-2024-2758"/>
    <x v="319"/>
    <x v="1"/>
    <s v="Software Licenses"/>
    <s v="TechDistributors Inc"/>
    <n v="67851.72"/>
    <s v="GL-500100"/>
    <s v="12%"/>
    <s v="APPROVED"/>
    <s v="INV-7058"/>
    <s v="   Urgent operational requirement!   "/>
    <m/>
  </r>
  <r>
    <s v="   "/>
    <x v="320"/>
    <x v="1"/>
    <s v="Travel &amp; Entertainment"/>
    <s v="CloudSaaS Corp"/>
    <n v="143140.56"/>
    <s v="GL-600300"/>
    <s v="0%"/>
    <s v="APPROVED"/>
    <s v="INV-4234"/>
    <s v="System Auto-Generated"/>
    <m/>
  </r>
  <r>
    <s v="PO-2024-2760"/>
    <x v="135"/>
    <x v="4"/>
    <s v="Office Rent"/>
    <s v="CloudSaaS Corp"/>
    <n v="167875.66"/>
    <s v="GL-600300"/>
    <s v="12%"/>
    <s v="APPROVED"/>
    <m/>
    <s v="System Auto-Generated"/>
    <m/>
  </r>
  <r>
    <s v="PO-2024-2762"/>
    <x v="321"/>
    <x v="1"/>
    <s v="Hardware Procurement"/>
    <s v="PaperCorp Supplies"/>
    <n v="211499.74"/>
    <s v="GL-600300"/>
    <s v="12%"/>
    <s v="APPROVED"/>
    <s v="INV-5187"/>
    <s v="   Urgent operational requirement!   "/>
    <m/>
  </r>
  <r>
    <s v="PO-2024-2763"/>
    <x v="322"/>
    <x v="1"/>
    <s v="Office Rent"/>
    <s v="CloudSaaS Corporation"/>
    <n v="87064.48"/>
    <s v="GL-500100"/>
    <s v="12%"/>
    <s v="APPROVED"/>
    <s v="INV-9736"/>
    <s v="System Auto-Generated"/>
    <m/>
  </r>
  <r>
    <s v="PO-2024-2764"/>
    <x v="323"/>
    <x v="2"/>
    <s v="Software Licenses"/>
    <s v="Prime Space Realty"/>
    <n v="16791.93"/>
    <s v="GL-500200"/>
    <s v="12%"/>
    <s v="APPROVED"/>
    <s v="INV-4573"/>
    <s v="System Auto-Generated"/>
    <m/>
  </r>
  <r>
    <s v="PO-2024-2766"/>
    <x v="324"/>
    <x v="0"/>
    <s v="Digital Advertising"/>
    <s v="GlobalMedia Ads"/>
    <n v="93948.160000000003"/>
    <s v="GL-500200"/>
    <s v="12%"/>
    <s v="APPROVED"/>
    <s v="INV-9522"/>
    <s v="System Auto-Generated"/>
    <m/>
  </r>
  <r>
    <s v="PO-2024-2770"/>
    <x v="325"/>
    <x v="0"/>
    <s v="Digital Advertising"/>
    <s v="Prime Space Realty"/>
    <n v="192404"/>
    <s v="GL-500200"/>
    <s v="12%"/>
    <s v="APPROVED"/>
    <s v="INV-9194"/>
    <s v="   Urgent operational requirement!   "/>
    <m/>
  </r>
  <r>
    <s v="PO-2024-2773"/>
    <x v="326"/>
    <x v="0"/>
    <s v="Cloud Infrastructure"/>
    <s v="Prime Space Realty"/>
    <n v="11344.52"/>
    <s v="GL-500100"/>
    <s v="12%"/>
    <s v="APPROVED"/>
    <s v="INV-6415"/>
    <s v="System Auto-Generated"/>
    <m/>
  </r>
  <r>
    <s v="PO-2024-2775"/>
    <x v="327"/>
    <x v="3"/>
    <s v="Software Licenses"/>
    <s v="TechDistributors Inc"/>
    <n v="104688.15"/>
    <s v="GL-600300"/>
    <s v="12%"/>
    <s v="APPROVED"/>
    <s v="INV-9205"/>
    <s v="   Urgent operational requirement!   "/>
    <m/>
  </r>
  <r>
    <s v="PO-2024-2776"/>
    <x v="328"/>
    <x v="4"/>
    <s v="Software Licenses"/>
    <s v="CloudSaaS Corp"/>
    <n v="98582.99"/>
    <s v="GL-500100"/>
    <s v="12%"/>
    <s v="APPROVED"/>
    <s v="INV-4687"/>
    <s v="System Auto-Generated"/>
    <m/>
  </r>
  <r>
    <s v="PO-2024-2777"/>
    <x v="329"/>
    <x v="2"/>
    <s v="Digital Advertising"/>
    <s v="Prime Space Realty"/>
    <n v="16760.72"/>
    <s v="GL-600300"/>
    <s v="12%"/>
    <s v="APPROVED"/>
    <s v="INV-6853"/>
    <s v="   Urgent operational requirement!   "/>
    <m/>
  </r>
  <r>
    <s v="PO-2024-2778"/>
    <x v="109"/>
    <x v="4"/>
    <s v="Hardware Procurement"/>
    <s v="Prime Space Realty"/>
    <n v="89842.47"/>
    <s v="GL-600300"/>
    <s v="12%"/>
    <s v="APPROVED"/>
    <s v="INV-7682"/>
    <s v="System Auto-Generated"/>
    <m/>
  </r>
  <r>
    <s v="PO-2024-2782"/>
    <x v="330"/>
    <x v="2"/>
    <s v="Travel &amp; Entertainment"/>
    <s v="PaperCorp Supplies"/>
    <n v="118820.84"/>
    <s v="GL-500200"/>
    <s v="12%"/>
    <s v="APPROVED"/>
    <s v="INV-6608"/>
    <s v="System Auto-Generated"/>
    <m/>
  </r>
  <r>
    <s v="PO-2024-2784"/>
    <x v="300"/>
    <x v="1"/>
    <s v="Software Licenses"/>
    <s v="Prime Space Realty"/>
    <n v="146924.73000000001"/>
    <s v="GL-500200"/>
    <s v="12%"/>
    <s v="APPROVED"/>
    <s v="INV-5187"/>
    <s v="System Auto-Generated"/>
    <m/>
  </r>
  <r>
    <s v="PO-2024-2786"/>
    <x v="167"/>
    <x v="2"/>
    <s v="Software Licenses"/>
    <s v="Prime Space Realty"/>
    <n v="102621.42"/>
    <s v="GL-500100"/>
    <s v="12%"/>
    <s v="APPROVED"/>
    <s v="INV-5622"/>
    <s v="System Auto-Generated"/>
    <m/>
  </r>
  <r>
    <s v="PO-2024-2787"/>
    <x v="211"/>
    <x v="4"/>
    <s v="Hardware Procurement"/>
    <s v="GlobalMedia Ads"/>
    <n v="51026.62"/>
    <s v="GL-600300"/>
    <s v="12%"/>
    <s v="APPROVED"/>
    <s v="INV-8392"/>
    <s v="System Auto-Generated"/>
    <m/>
  </r>
  <r>
    <s v="PO-2024-2792"/>
    <x v="331"/>
    <x v="1"/>
    <s v="Digital Advertising"/>
    <s v="TechDistributors Inc"/>
    <n v="288157.83"/>
    <s v="GL-600300"/>
    <s v="12%"/>
    <s v="APPROVED"/>
    <s v="INV-5778"/>
    <s v="   Urgent operational requirement!   "/>
    <m/>
  </r>
  <r>
    <s v="PO-2024-2793"/>
    <x v="95"/>
    <x v="0"/>
    <s v="Software Licenses"/>
    <s v="TechDistributors Inc"/>
    <n v="222054.57"/>
    <s v="GL-600300"/>
    <s v="12%"/>
    <s v="APPROVED"/>
    <s v="INV-5229"/>
    <s v="System Auto-Generated"/>
    <m/>
  </r>
  <r>
    <s v="PO-2024-2794"/>
    <x v="332"/>
    <x v="4"/>
    <s v="Software Licenses"/>
    <s v="CloudSaaS Corp"/>
    <n v="178625.34"/>
    <s v="GL-500200"/>
    <s v="12%"/>
    <s v="APPROVED"/>
    <s v="INV-7091"/>
    <s v="System Auto-Generated"/>
    <m/>
  </r>
  <r>
    <s v="   "/>
    <x v="333"/>
    <x v="0"/>
    <s v="Software Licenses"/>
    <s v="Tech Distributors"/>
    <n v="19564.75"/>
    <s v="GL-500200"/>
    <s v="12%"/>
    <s v="APPROVED"/>
    <s v="INV-8522"/>
    <s v="System Auto-Generated"/>
    <m/>
  </r>
  <r>
    <s v="PO-2024-2796"/>
    <x v="315"/>
    <x v="4"/>
    <s v="Cloud Infrastructure"/>
    <s v="GlobalMedia Ads"/>
    <n v="15567.47"/>
    <s v="GL-600300"/>
    <s v="12%"/>
    <s v="APPROVED"/>
    <s v="INV-4579"/>
    <s v="System Auto-Generated"/>
    <m/>
  </r>
  <r>
    <s v="PO-2024-2799"/>
    <x v="251"/>
    <x v="1"/>
    <s v="Software Licenses"/>
    <s v="CloudSaaS Corp"/>
    <n v="217123.07"/>
    <s v="GL-500200"/>
    <s v="12%"/>
    <s v="APPROVED"/>
    <s v="INV-7812"/>
    <s v="System Auto-Generated"/>
    <m/>
  </r>
  <r>
    <s v="PO-2024-2802"/>
    <x v="59"/>
    <x v="2"/>
    <s v="Office Rent"/>
    <s v="CloudSaaS Corp"/>
    <n v="42042.02"/>
    <s v="GL-600300"/>
    <s v="12%"/>
    <s v="APPROVED"/>
    <m/>
    <s v="   Urgent operational requirement!   "/>
    <m/>
  </r>
  <r>
    <s v="PO-2024-2806"/>
    <x v="334"/>
    <x v="4"/>
    <s v="Travel &amp; Entertainment"/>
    <s v="GlobalMedia Ads"/>
    <n v="39293.78"/>
    <s v="GL-500200"/>
    <s v="12%"/>
    <s v="APPROVED"/>
    <m/>
    <s v="   Urgent operational requirement!   "/>
    <m/>
  </r>
  <r>
    <s v="PO-2024-2807"/>
    <x v="335"/>
    <x v="1"/>
    <s v="Office Supplies"/>
    <s v="GlobalMedia Ads"/>
    <n v="233786.86"/>
    <s v="GL-500200"/>
    <s v="12%"/>
    <s v="APPROVED"/>
    <s v="INV-5398"/>
    <s v="   Urgent operational requirement!   "/>
    <m/>
  </r>
  <r>
    <s v="PO-2024-2809"/>
    <x v="168"/>
    <x v="0"/>
    <s v="Office Rent"/>
    <s v="CloudSaaS Corp"/>
    <n v="30668.799999999999"/>
    <s v="GL-500200"/>
    <s v="12%"/>
    <s v="APPROVED"/>
    <s v="INV-9072"/>
    <s v="System Auto-Generated"/>
    <m/>
  </r>
  <r>
    <s v="PO-2024-2810"/>
    <x v="235"/>
    <x v="0"/>
    <s v="Digital Advertising"/>
    <s v="GlobalMedia Ads"/>
    <n v="117904.37"/>
    <s v="GL-500200"/>
    <s v="0%"/>
    <s v="APPROVED"/>
    <s v="INV-7747"/>
    <s v="   Urgent operational requirement!   "/>
    <m/>
  </r>
  <r>
    <s v="PO-2024-2811"/>
    <x v="336"/>
    <x v="2"/>
    <s v="Software Licenses"/>
    <s v="GlobalMedia Ads"/>
    <n v="27181.06"/>
    <s v="GL-500200"/>
    <s v="12%"/>
    <s v="APPROVED"/>
    <s v="INV-7537"/>
    <s v="System Auto-Generated"/>
    <m/>
  </r>
  <r>
    <s v="PO-2024-2812"/>
    <x v="337"/>
    <x v="0"/>
    <s v="Software Licenses"/>
    <s v="PaperCorp Supplies"/>
    <n v="79633.149999999994"/>
    <s v="GL-600300"/>
    <s v="12%"/>
    <s v="APPROVED"/>
    <s v="INV-7001"/>
    <s v="   Urgent operational requirement!   "/>
    <m/>
  </r>
  <r>
    <s v="PO-2024-2814"/>
    <x v="338"/>
    <x v="0"/>
    <s v="Software Licenses"/>
    <s v="Prime Space Realty"/>
    <n v="198293"/>
    <s v="GL-500100"/>
    <s v="12%"/>
    <s v="APPROVED"/>
    <s v="INV-9643"/>
    <s v="System Auto-Generated"/>
    <m/>
  </r>
  <r>
    <s v="PO-2024-2815"/>
    <x v="339"/>
    <x v="2"/>
    <s v="Software Licenses"/>
    <s v="GlobalMedia Ads"/>
    <n v="120245.92"/>
    <s v="GL-500100"/>
    <s v="12%"/>
    <s v="APPROVED"/>
    <s v="INV-5854"/>
    <s v="   Urgent operational requirement!   "/>
    <m/>
  </r>
  <r>
    <s v="PO-2024-2816"/>
    <x v="340"/>
    <x v="0"/>
    <s v="Software Licenses"/>
    <s v="CloudSaaS Corp"/>
    <n v="206938.52"/>
    <s v="GL-600300"/>
    <s v="12%"/>
    <s v="APPROVED"/>
    <m/>
    <s v="System Auto-Generated"/>
    <m/>
  </r>
  <r>
    <s v="PO-2024-2818"/>
    <x v="198"/>
    <x v="4"/>
    <s v="Software Licenses"/>
    <s v="TechDistributors Inc"/>
    <n v="7496.75"/>
    <s v="GL-500200"/>
    <s v="12%"/>
    <s v="APPROVED"/>
    <s v="INV-7214"/>
    <s v="System Auto-Generated"/>
    <m/>
  </r>
  <r>
    <s v="PO-2024-2822"/>
    <x v="341"/>
    <x v="0"/>
    <s v="Office Rent"/>
    <s v="CloudSaaS Corp"/>
    <n v="204777.03"/>
    <s v="GL-500100"/>
    <s v="0%"/>
    <s v="APPROVED"/>
    <s v="INV-7868"/>
    <s v="System Auto-Generated"/>
    <m/>
  </r>
  <r>
    <s v="PO-2024-2824"/>
    <x v="342"/>
    <x v="2"/>
    <s v="Digital Advertising"/>
    <s v="TechDistributors Inc"/>
    <n v="196240.65"/>
    <s v="GL-500100"/>
    <s v="12%"/>
    <s v="APPROVED"/>
    <s v="INV-5134"/>
    <s v="   Urgent operational requirement!   "/>
    <m/>
  </r>
  <r>
    <s v="PO-2024-2827"/>
    <x v="343"/>
    <x v="2"/>
    <s v="Hardware Procurement"/>
    <s v="Prime Space Realty"/>
    <n v="63341.919999999998"/>
    <s v="GL-500200"/>
    <s v="12%"/>
    <s v="APPROVED"/>
    <s v="INV-8632"/>
    <s v="System Auto-Generated"/>
    <m/>
  </r>
  <r>
    <s v="   "/>
    <x v="344"/>
    <x v="2"/>
    <s v="Software Licenses"/>
    <s v="CloudSaaS Corp"/>
    <n v="194375.18"/>
    <s v="GL-500100"/>
    <s v="12%"/>
    <s v="APPROVED"/>
    <s v="INV-6329"/>
    <s v="System Auto-Generated"/>
    <m/>
  </r>
  <r>
    <s v="PO-2024-2834"/>
    <x v="345"/>
    <x v="0"/>
    <s v="Office Rent"/>
    <s v="Prime Space Realty"/>
    <n v="154446.92000000001"/>
    <s v="GL-600300"/>
    <s v="12%"/>
    <s v="APPROVED"/>
    <s v="INV-7260"/>
    <s v="System Auto-Generated"/>
    <m/>
  </r>
  <r>
    <s v="PO-2024-2839"/>
    <x v="346"/>
    <x v="1"/>
    <s v="Travel &amp; Entertainment"/>
    <s v="PaperCorp Supplies"/>
    <n v="7018.94"/>
    <s v="GL-500100"/>
    <s v="12%"/>
    <s v="APPROVED"/>
    <s v="INV-8197"/>
    <s v="   Urgent operational requirement!   "/>
    <m/>
  </r>
  <r>
    <s v="PO-2024-2844"/>
    <x v="347"/>
    <x v="2"/>
    <s v="Office Supplies"/>
    <s v="CloudSaaS Corp"/>
    <n v="155907.6"/>
    <s v="GL-600300"/>
    <s v="12%"/>
    <s v="APPROVED"/>
    <s v="INV-9689"/>
    <s v="System Auto-Generated"/>
    <m/>
  </r>
  <r>
    <s v="PO-2024-2846"/>
    <x v="348"/>
    <x v="2"/>
    <s v="Hardware Procurement"/>
    <s v="GlobalMedia Ads"/>
    <n v="52054.01"/>
    <s v="GL-500100"/>
    <s v="12%"/>
    <s v="APPROVED"/>
    <s v="INV-8083"/>
    <s v="   Urgent operational requirement!   "/>
    <m/>
  </r>
  <r>
    <s v="PO-2024-2850"/>
    <x v="23"/>
    <x v="3"/>
    <s v="Travel &amp; Entertainment"/>
    <s v="TechDistributors Inc"/>
    <n v="51393.66"/>
    <s v="GL-500100"/>
    <s v="0%"/>
    <s v="APPROVED"/>
    <s v="INV-7453"/>
    <s v="System Auto-Generated"/>
    <m/>
  </r>
  <r>
    <s v="PO-2024-2858"/>
    <x v="349"/>
    <x v="2"/>
    <s v="Hardware Procurement"/>
    <s v="Paper Corp"/>
    <n v="209734"/>
    <s v="GL-600300"/>
    <s v="12%"/>
    <s v="APPROVED"/>
    <s v="INV-6502"/>
    <s v="System Auto-Generated"/>
    <m/>
  </r>
  <r>
    <s v="PO-2024-2859"/>
    <x v="165"/>
    <x v="4"/>
    <s v="Travel &amp; Entertainment"/>
    <s v="TechDistributors Inc"/>
    <n v="11872.93"/>
    <s v="GL-600300"/>
    <s v="0%"/>
    <s v="APPROVED"/>
    <s v="INV-4265"/>
    <s v="System Auto-Generated"/>
    <m/>
  </r>
  <r>
    <s v="PO-2024-2862"/>
    <x v="350"/>
    <x v="0"/>
    <s v="Travel &amp; Entertainment"/>
    <s v="PaperCorp Supplies"/>
    <n v="123369.96"/>
    <s v="GL-500100"/>
    <s v="0%"/>
    <s v="APPROVED"/>
    <s v="INV-8741"/>
    <s v="System Auto-Generated"/>
    <m/>
  </r>
  <r>
    <s v="PO-2024-2864"/>
    <x v="329"/>
    <x v="2"/>
    <s v="Cloud Infrastructure"/>
    <s v="GlobalMedia Ads"/>
    <n v="183889.77"/>
    <s v="GL-500200"/>
    <s v="12%"/>
    <s v="APPROVED"/>
    <s v="INV-5285"/>
    <s v="   Urgent operational requirement!   "/>
    <m/>
  </r>
  <r>
    <s v="PO-2024-2865"/>
    <x v="351"/>
    <x v="2"/>
    <s v="Software Licenses"/>
    <s v="PaperCorp Supplies"/>
    <n v="227528.14"/>
    <s v="GL-600300"/>
    <s v="12%"/>
    <s v="APPROVED"/>
    <s v="INV-7886"/>
    <s v="   Urgent operational requirement!   "/>
    <m/>
  </r>
  <r>
    <s v="PO-2024-2867"/>
    <x v="179"/>
    <x v="4"/>
    <s v="Hardware Procurement"/>
    <s v="GlobalMedia Ads"/>
    <n v="190077.53"/>
    <s v="GL-500100"/>
    <s v="12%"/>
    <s v="APPROVED"/>
    <m/>
    <s v="System Auto-Generated"/>
    <m/>
  </r>
  <r>
    <s v="PO-2024-2869"/>
    <x v="319"/>
    <x v="0"/>
    <s v="Travel &amp; Entertainment"/>
    <s v="TechDistributors Inc"/>
    <n v="116510.44"/>
    <s v="GL-500200"/>
    <s v="12%"/>
    <s v="APPROVED"/>
    <s v="INV-4364"/>
    <s v="System Auto-Generated"/>
    <m/>
  </r>
  <r>
    <s v="   "/>
    <x v="352"/>
    <x v="4"/>
    <s v="Hardware Procurement"/>
    <s v="PaperCorp Supplies"/>
    <n v="143456.28"/>
    <s v="GL-600300"/>
    <s v="12%"/>
    <s v="APPROVED"/>
    <s v="INV-4219"/>
    <s v="System Auto-Generated"/>
    <m/>
  </r>
  <r>
    <s v="PO-2024-2875"/>
    <x v="283"/>
    <x v="3"/>
    <s v="Digital Advertising"/>
    <s v="CloudSaaS Corporation"/>
    <n v="186093.39"/>
    <s v="GL-600300"/>
    <s v="12%"/>
    <s v="APPROVED"/>
    <s v="INV-8753"/>
    <s v="   Urgent operational requirement!   "/>
    <m/>
  </r>
  <r>
    <s v="PO-2024-2876"/>
    <x v="353"/>
    <x v="1"/>
    <s v="Hardware Procurement"/>
    <s v="TechDistributors Inc"/>
    <n v="6141.94"/>
    <s v="GL-600300"/>
    <s v="12%"/>
    <s v="APPROVED"/>
    <m/>
    <s v="System Auto-Generated"/>
    <m/>
  </r>
  <r>
    <s v="PO-2024-2877"/>
    <x v="354"/>
    <x v="2"/>
    <s v="Digital Advertising"/>
    <s v="CloudSaaS Corp"/>
    <n v="140031.49"/>
    <s v="GL-500100"/>
    <s v="0%"/>
    <s v="APPROVED"/>
    <s v="INV-6821"/>
    <s v="   Urgent operational requirement!   "/>
    <m/>
  </r>
  <r>
    <s v="PO-2024-2878"/>
    <x v="355"/>
    <x v="2"/>
    <s v="Office Rent"/>
    <s v="CloudSaaS Corp"/>
    <n v="192580.12"/>
    <s v="GL-500200"/>
    <s v="12%"/>
    <s v="APPROVED"/>
    <s v="INV-7909"/>
    <s v="System Auto-Generated"/>
    <m/>
  </r>
  <r>
    <s v="   "/>
    <x v="254"/>
    <x v="1"/>
    <s v="Software Licenses"/>
    <s v="GlobalMedia Ads"/>
    <n v="147560.21"/>
    <s v="GL-600300"/>
    <s v="12%"/>
    <s v="APPROVED"/>
    <s v="INV-7125"/>
    <s v="System Auto-Generated"/>
    <m/>
  </r>
  <r>
    <s v="PO-2024-2880"/>
    <x v="356"/>
    <x v="1"/>
    <s v="Hardware Procurement"/>
    <s v="GlobalMedia Ads"/>
    <n v="50094"/>
    <s v="GL-500100"/>
    <s v="12%"/>
    <s v="APPROVED"/>
    <s v="INV-7179"/>
    <s v="   Urgent operational requirement!   "/>
    <m/>
  </r>
  <r>
    <s v="PO-2024-2882"/>
    <x v="158"/>
    <x v="0"/>
    <s v="Software Licenses"/>
    <s v="GlobalMedia Ads"/>
    <n v="13887.02"/>
    <s v="GL-600300"/>
    <s v="0%"/>
    <s v="APPROVED"/>
    <s v="INV-5980"/>
    <s v="System Auto-Generated"/>
    <m/>
  </r>
  <r>
    <s v="PO-2024-2883"/>
    <x v="357"/>
    <x v="0"/>
    <s v="Office Rent"/>
    <s v="CloudSaaS Corp"/>
    <n v="311243.93"/>
    <s v="GL-500100"/>
    <s v="12%"/>
    <s v="APPROVED"/>
    <m/>
    <s v="System Auto-Generated"/>
    <m/>
  </r>
  <r>
    <s v="   "/>
    <x v="358"/>
    <x v="1"/>
    <s v="Office Supplies"/>
    <s v="CloudSaaS Corp"/>
    <n v="310041.08"/>
    <s v="GL-500200"/>
    <s v="12%"/>
    <s v="APPROVED"/>
    <s v="INV-7667"/>
    <s v="System Auto-Generated"/>
    <m/>
  </r>
  <r>
    <s v="PO-2024-2890"/>
    <x v="270"/>
    <x v="1"/>
    <s v="Travel &amp; Entertainment"/>
    <s v="CloudSaaS Corp"/>
    <n v="30283.33"/>
    <s v="GL-500100"/>
    <s v="12%"/>
    <s v="APPROVED"/>
    <s v="INV-8435"/>
    <s v="System Auto-Generated"/>
    <m/>
  </r>
  <r>
    <s v="PO-2024-2894"/>
    <x v="275"/>
    <x v="2"/>
    <s v="Travel &amp; Entertainment"/>
    <s v="PaperCorp Supplies"/>
    <n v="192597.65"/>
    <s v="GL-500200"/>
    <s v="12%"/>
    <s v="APPROVED"/>
    <s v="INV-6253"/>
    <s v="System Auto-Generated"/>
    <m/>
  </r>
  <r>
    <s v="PO-2024-2897"/>
    <x v="359"/>
    <x v="0"/>
    <s v="Travel &amp; Entertainment"/>
    <s v="Prime Space Realty"/>
    <n v="117921.78"/>
    <s v="GL-500100"/>
    <s v="12%"/>
    <s v="APPROVED"/>
    <s v="INV-5079"/>
    <s v="   Urgent operational requirement!   "/>
    <m/>
  </r>
  <r>
    <s v="PO-2024-2900"/>
    <x v="129"/>
    <x v="3"/>
    <s v="Office Rent"/>
    <s v="CloudSaaS Corp"/>
    <n v="16864.03"/>
    <s v="GL-600300"/>
    <s v="12%"/>
    <s v="APPROVED"/>
    <s v="INV-9584"/>
    <s v="System Auto-Generated"/>
    <m/>
  </r>
  <r>
    <s v="PO-2024-2902"/>
    <x v="360"/>
    <x v="4"/>
    <s v="Travel &amp; Entertainment"/>
    <s v="GlobalMedia Ads"/>
    <n v="107376"/>
    <s v="GL-600300"/>
    <s v="12%"/>
    <s v="APPROVED"/>
    <s v="INV-9545"/>
    <s v="System Auto-Generated"/>
    <m/>
  </r>
  <r>
    <s v="PO-2024-2903"/>
    <x v="361"/>
    <x v="0"/>
    <s v="Office Rent"/>
    <s v="GlobalMedia Ads"/>
    <n v="189515.49"/>
    <s v="GL-500100"/>
    <s v="12%"/>
    <s v="APPROVED"/>
    <s v="INV-6786"/>
    <s v="System Auto-Generated"/>
    <m/>
  </r>
  <r>
    <s v="PO-2024-2904"/>
    <x v="138"/>
    <x v="2"/>
    <s v="Hardware Procurement"/>
    <s v="Prime Space Realty"/>
    <n v="159778.84"/>
    <s v="GL-600300"/>
    <s v="12%"/>
    <s v="APPROVED"/>
    <s v="INV-8025"/>
    <s v="System Auto-Generated"/>
    <m/>
  </r>
  <r>
    <s v="PO-2024-2906"/>
    <x v="362"/>
    <x v="2"/>
    <s v="Office Rent"/>
    <s v="Prime Space Realty"/>
    <n v="211378.13"/>
    <s v="GL-600300"/>
    <s v="0%"/>
    <s v="APPROVED"/>
    <s v="INV-5845"/>
    <s v="System Auto-Generated"/>
    <m/>
  </r>
  <r>
    <s v="PO-2024-2907"/>
    <x v="87"/>
    <x v="2"/>
    <s v="Hardware Procurement"/>
    <s v="GlobalMedia Ads"/>
    <n v="197005.72"/>
    <s v="GL-500100"/>
    <s v="12%"/>
    <s v="APPROVED"/>
    <s v="INV-4276"/>
    <s v="System Auto-Generated"/>
    <m/>
  </r>
  <r>
    <s v="PO-2024-2908"/>
    <x v="363"/>
    <x v="4"/>
    <s v="Office Rent"/>
    <s v="PaperCorp Supplies"/>
    <n v="32923.199999999997"/>
    <s v="GL-500200"/>
    <s v="12%"/>
    <s v="APPROVED"/>
    <s v="INV-7168"/>
    <s v="System Auto-Generated"/>
    <m/>
  </r>
  <r>
    <s v="PO-2024-2914"/>
    <x v="364"/>
    <x v="0"/>
    <s v="Office Supplies"/>
    <s v="CloudSaaS Corp"/>
    <n v="223365.63"/>
    <s v="GL-500100"/>
    <s v="12%"/>
    <s v="APPROVED"/>
    <s v="INV-5719"/>
    <s v="   Urgent operational requirement!   "/>
    <m/>
  </r>
  <r>
    <s v="PO-2024-2919"/>
    <x v="140"/>
    <x v="2"/>
    <s v="Cloud Infrastructure"/>
    <s v="Prime Space Realty"/>
    <n v="58731.48"/>
    <s v="GL-500100"/>
    <s v="12%"/>
    <s v="APPROVED"/>
    <s v="INV-5964"/>
    <s v="System Auto-Generated"/>
    <m/>
  </r>
  <r>
    <s v="PO-2024-2920"/>
    <x v="365"/>
    <x v="4"/>
    <s v="Hardware Procurement"/>
    <s v="CloudSaaS Corp"/>
    <n v="27790.5"/>
    <s v="GL-500200"/>
    <s v="12%"/>
    <s v="APPROVED"/>
    <s v="INV-4012"/>
    <s v="System Auto-Generated"/>
    <m/>
  </r>
  <r>
    <s v="PO-2024-2922"/>
    <x v="366"/>
    <x v="1"/>
    <s v="Hardware Procurement"/>
    <s v="GlobalMedia Ads"/>
    <n v="218454.49"/>
    <s v="GL-500200"/>
    <s v="12%"/>
    <s v="APPROVED"/>
    <s v="INV-7438"/>
    <s v="   Urgent operational requirement!   "/>
    <m/>
  </r>
  <r>
    <s v="PO-2024-2923"/>
    <x v="367"/>
    <x v="2"/>
    <s v="Office Supplies"/>
    <s v="GlobalMedia Ads"/>
    <n v="114372.16"/>
    <s v="GL-600300"/>
    <s v="12%"/>
    <s v="APPROVED"/>
    <s v="INV-8809"/>
    <s v="   Urgent operational requirement!   "/>
    <m/>
  </r>
  <r>
    <s v="PO-2024-2924"/>
    <x v="368"/>
    <x v="1"/>
    <s v="Cloud Infrastructure"/>
    <s v="TechDistributors Inc"/>
    <n v="243620"/>
    <s v="GL-500200"/>
    <s v="12%"/>
    <s v="APPROVED"/>
    <s v="INV-6052"/>
    <s v="System Auto-Generated"/>
    <m/>
  </r>
  <r>
    <s v="PO-2024-2930"/>
    <x v="369"/>
    <x v="0"/>
    <s v="Hardware Procurement"/>
    <s v="Prime Space Realty"/>
    <n v="233892"/>
    <s v="GL-500200"/>
    <s v="12%"/>
    <s v="APPROVED"/>
    <s v="INV-9426"/>
    <s v="System Auto-Generated"/>
    <m/>
  </r>
  <r>
    <s v="PO-2024-2935"/>
    <x v="370"/>
    <x v="1"/>
    <s v="Office Supplies"/>
    <s v="TechDistributors Inc"/>
    <n v="26845.87"/>
    <s v="GL-500200"/>
    <s v="0%"/>
    <s v="APPROVED"/>
    <s v="INV-8973"/>
    <s v="System Auto-Generated"/>
    <m/>
  </r>
  <r>
    <s v="PO-2024-2937"/>
    <x v="371"/>
    <x v="2"/>
    <s v="Travel &amp; Entertainment"/>
    <s v="PaperCorp Supplies"/>
    <n v="231766.26"/>
    <s v="GL-500200"/>
    <s v="12%"/>
    <s v="APPROVED"/>
    <s v="INV-8417"/>
    <s v="System Auto-Generated"/>
    <m/>
  </r>
  <r>
    <s v="PO-2024-2939"/>
    <x v="372"/>
    <x v="2"/>
    <s v="Cloud Infrastructure"/>
    <s v="TechDistributors Inc"/>
    <n v="76187.08"/>
    <s v="GL-500200"/>
    <s v="12%"/>
    <s v="APPROVED"/>
    <s v="INV-9292"/>
    <s v="   Urgent operational requirement!   "/>
    <m/>
  </r>
  <r>
    <s v="PO-2024-2940"/>
    <x v="373"/>
    <x v="4"/>
    <s v="Office Supplies"/>
    <s v="GlobalMedia Ads"/>
    <n v="54357.25"/>
    <s v="GL-500200"/>
    <s v="12%"/>
    <s v="APPROVED"/>
    <s v="INV-9107"/>
    <s v="System Auto-Generated"/>
    <m/>
  </r>
  <r>
    <s v="PO-2024-2941"/>
    <x v="374"/>
    <x v="1"/>
    <s v="Digital Advertising"/>
    <s v="PaperCorp Supplies"/>
    <n v="24819.59"/>
    <s v="GL-500100"/>
    <s v="12%"/>
    <s v="APPROVED"/>
    <s v="INV-8095"/>
    <s v="System Auto-Generated"/>
    <m/>
  </r>
  <r>
    <s v="PO-2024-2942"/>
    <x v="375"/>
    <x v="0"/>
    <s v="Digital Advertising"/>
    <s v="Prime Space Realty"/>
    <n v="230754.29"/>
    <s v="GL-600300"/>
    <s v="12%"/>
    <s v="APPROVED"/>
    <s v="INV-4990"/>
    <s v="System Auto-Generated"/>
    <m/>
  </r>
  <r>
    <s v="PO-2024-2943"/>
    <x v="376"/>
    <x v="1"/>
    <s v="Hardware Procurement"/>
    <s v="PaperCorp Supplies"/>
    <n v="58343.92"/>
    <s v="GL-600300"/>
    <s v="12%"/>
    <s v="APPROVED"/>
    <m/>
    <s v="System Auto-Generated"/>
    <m/>
  </r>
  <r>
    <s v="PO-2024-2945"/>
    <x v="377"/>
    <x v="1"/>
    <s v="Travel &amp; Entertainment"/>
    <s v="GlobalMedia Ads"/>
    <n v="283126.14"/>
    <s v="GL-500100"/>
    <s v="12%"/>
    <s v="APPROVED"/>
    <s v="INV-6423"/>
    <s v="   Urgent operational requirement!   "/>
    <m/>
  </r>
  <r>
    <s v="PO-2024-2946"/>
    <x v="230"/>
    <x v="2"/>
    <s v="Travel &amp; Entertainment"/>
    <s v="Prime Space Realty"/>
    <n v="164587"/>
    <s v="GL-600300"/>
    <s v="12%"/>
    <s v="APPROVED"/>
    <s v="INV-5079"/>
    <s v="System Auto-Generated"/>
    <m/>
  </r>
  <r>
    <s v="PO-2024-2949"/>
    <x v="378"/>
    <x v="2"/>
    <s v="Cloud Infrastructure"/>
    <s v="GlobalMedia Ads"/>
    <n v="162794.54"/>
    <s v="GL-600300"/>
    <s v="12%"/>
    <s v="APPROVED"/>
    <s v="INV-8306"/>
    <s v="System Auto-Generated"/>
    <m/>
  </r>
  <r>
    <s v="PO-2024-2950"/>
    <x v="379"/>
    <x v="3"/>
    <s v="Office Rent"/>
    <s v="CloudSaaS Corp"/>
    <n v="204667.69"/>
    <s v="GL-600300"/>
    <s v="12%"/>
    <s v="APPROVED"/>
    <s v="INV-9469"/>
    <s v="System Auto-Generated"/>
    <m/>
  </r>
  <r>
    <s v="PO-2024-2951"/>
    <x v="380"/>
    <x v="1"/>
    <s v="Office Supplies"/>
    <s v="PaperCorp Supplies"/>
    <n v="32764.13"/>
    <s v="GL-500100"/>
    <s v="12%"/>
    <s v="APPROVED"/>
    <s v="INV-6224"/>
    <s v="System Auto-Generated"/>
    <m/>
  </r>
  <r>
    <s v="PO-2024-2952"/>
    <x v="381"/>
    <x v="0"/>
    <s v="Office Supplies"/>
    <s v="TechDistributors Inc"/>
    <n v="8894.42"/>
    <s v="GL-500200"/>
    <s v="12%"/>
    <s v="APPROVED"/>
    <s v="INV-9427"/>
    <s v="System Auto-Generated"/>
    <m/>
  </r>
  <r>
    <s v="PO-2024-2956"/>
    <x v="382"/>
    <x v="2"/>
    <s v="Office Rent"/>
    <s v="PaperCorp Supplies"/>
    <n v="137842.51999999999"/>
    <s v="GL-600300"/>
    <s v="12%"/>
    <s v="APPROVED"/>
    <s v="INV-4358"/>
    <s v="System Auto-Generated"/>
    <m/>
  </r>
  <r>
    <s v="PO-2024-2957"/>
    <x v="383"/>
    <x v="4"/>
    <s v="Travel &amp; Entertainment"/>
    <s v="Paper Corp"/>
    <n v="24878.75"/>
    <s v="GL-600300"/>
    <s v="12%"/>
    <s v="APPROVED"/>
    <s v="INV-6947"/>
    <s v="System Auto-Generated"/>
    <m/>
  </r>
  <r>
    <s v="PO-2024-2958"/>
    <x v="384"/>
    <x v="2"/>
    <s v="Digital Advertising"/>
    <s v="TechDistributors Inc"/>
    <n v="55973.94"/>
    <s v="GL-600300"/>
    <s v="12%"/>
    <s v="APPROVED"/>
    <s v="INV-9772"/>
    <s v="System Auto-Generated"/>
    <m/>
  </r>
  <r>
    <s v="PO-2024-2960"/>
    <x v="385"/>
    <x v="0"/>
    <s v="Hardware Procurement"/>
    <s v="GlobalMedia Ads"/>
    <n v="84261.6"/>
    <s v="GL-600300"/>
    <s v="12%"/>
    <s v="APPROVED"/>
    <s v="INV-7858"/>
    <s v="System Auto-Generated"/>
    <m/>
  </r>
  <r>
    <s v="PO-2024-2963"/>
    <x v="386"/>
    <x v="0"/>
    <s v="Cloud Infrastructure"/>
    <s v="TechDistributors Inc"/>
    <n v="84014.43"/>
    <s v="GL-500200"/>
    <s v="12%"/>
    <s v="APPROVED"/>
    <s v="INV-6770"/>
    <s v="System Auto-Generated"/>
    <m/>
  </r>
  <r>
    <s v="PO-2024-2965"/>
    <x v="358"/>
    <x v="2"/>
    <s v="Office Supplies"/>
    <s v="PaperCorp Supplies"/>
    <n v="25334.17"/>
    <s v="GL-500200"/>
    <s v="12%"/>
    <s v="APPROVED"/>
    <m/>
    <s v="System Auto-Generated"/>
    <m/>
  </r>
  <r>
    <s v="PO-2024-2966"/>
    <x v="387"/>
    <x v="2"/>
    <s v="Digital Advertising"/>
    <s v="CloudSaaS Corporation"/>
    <n v="67326.740000000005"/>
    <s v="GL-500200"/>
    <s v="12%"/>
    <s v="APPROVED"/>
    <m/>
    <s v="   Urgent operational requirement!   "/>
    <m/>
  </r>
  <r>
    <s v="PO-2024-2969"/>
    <x v="388"/>
    <x v="4"/>
    <s v="Hardware Procurement"/>
    <s v="Prime Space Realty"/>
    <n v="151339.89000000001"/>
    <s v="GL-500200"/>
    <s v="12%"/>
    <s v="APPROVED"/>
    <m/>
    <s v="System Auto-Generated"/>
    <m/>
  </r>
  <r>
    <s v="PO-2024-2970"/>
    <x v="389"/>
    <x v="2"/>
    <s v="Office Supplies"/>
    <s v="GlobalMedia Ads"/>
    <n v="62416.91"/>
    <s v="GL-600300"/>
    <s v="12%"/>
    <s v="APPROVED"/>
    <s v="INV-9287"/>
    <s v="System Auto-Generated"/>
    <m/>
  </r>
  <r>
    <s v="PO-2024-2972"/>
    <x v="390"/>
    <x v="1"/>
    <s v="Office Supplies"/>
    <s v="CloudSaaS Corp"/>
    <n v="52320.1"/>
    <s v="GL-500100"/>
    <s v="12%"/>
    <s v="APPROVED"/>
    <s v="INV-8208"/>
    <s v="System Auto-Generated"/>
    <m/>
  </r>
  <r>
    <s v="PO-2024-2976"/>
    <x v="391"/>
    <x v="1"/>
    <s v="Software Licenses"/>
    <s v="TechDistributors Inc"/>
    <n v="199197.85"/>
    <s v="GL-600300"/>
    <s v="12%"/>
    <s v="APPROVED"/>
    <s v="INV-6255"/>
    <s v="System Auto-Generated"/>
    <m/>
  </r>
  <r>
    <s v="PO-2024-2981"/>
    <x v="29"/>
    <x v="4"/>
    <s v="Hardware Procurement"/>
    <s v="TechDistributors Inc"/>
    <n v="68054.38"/>
    <s v="GL-500200"/>
    <s v="12%"/>
    <s v="APPROVED"/>
    <s v="INV-7861"/>
    <s v="   Urgent operational requirement!   "/>
    <m/>
  </r>
  <r>
    <s v="PO-2024-2984"/>
    <x v="392"/>
    <x v="2"/>
    <s v="Hardware Procurement"/>
    <s v="TechDistributors Inc"/>
    <n v="182482.98"/>
    <s v="GL-600300"/>
    <s v="12%"/>
    <s v="APPROVED"/>
    <s v="INV-8447"/>
    <s v="System Auto-Generated"/>
    <m/>
  </r>
  <r>
    <s v="PO-2024-2985"/>
    <x v="67"/>
    <x v="4"/>
    <s v="Hardware Procurement"/>
    <s v="GlobalMedia Ads"/>
    <n v="199676.73"/>
    <s v="GL-500200"/>
    <s v="12%"/>
    <s v="APPROVED"/>
    <s v="INV-8752"/>
    <s v="System Auto-Generated"/>
    <m/>
  </r>
  <r>
    <s v="PO-2024-2987"/>
    <x v="393"/>
    <x v="2"/>
    <s v="Hardware Procurement"/>
    <s v="Prime Space Realty"/>
    <n v="225614.34"/>
    <s v="GL-600300"/>
    <s v="12%"/>
    <s v="APPROVED"/>
    <s v="INV-5981"/>
    <s v="System Auto-Generated"/>
    <m/>
  </r>
  <r>
    <s v="PO-2024-2989"/>
    <x v="21"/>
    <x v="0"/>
    <s v="Software Licenses"/>
    <s v="TechDistributors Inc"/>
    <n v="81560.789999999994"/>
    <s v="GL-600300"/>
    <s v="12%"/>
    <s v="APPROVED"/>
    <s v="INV-6292"/>
    <s v="   Urgent operational requirement!   "/>
    <m/>
  </r>
  <r>
    <s v="PO-2024-2991"/>
    <x v="115"/>
    <x v="0"/>
    <s v="Software Licenses"/>
    <s v="PaperCorp Supplies"/>
    <n v="153133.26999999999"/>
    <s v="GL-600300"/>
    <s v="12%"/>
    <s v="APPROVED"/>
    <s v="INV-8234"/>
    <s v="   Urgent operational requirement!   "/>
    <m/>
  </r>
  <r>
    <s v="PO-2024-2992"/>
    <x v="394"/>
    <x v="2"/>
    <s v="Office Supplies"/>
    <s v="Prime Space Realty"/>
    <n v="51382.17"/>
    <s v="GL-500100"/>
    <s v="12%"/>
    <s v="APPROVED"/>
    <s v="INV-6915"/>
    <s v="System Auto-Generated"/>
    <m/>
  </r>
  <r>
    <s v="PO-2024-2993"/>
    <x v="395"/>
    <x v="0"/>
    <s v="Travel &amp; Entertainment"/>
    <s v="Prime Space Realty"/>
    <n v="67614.820000000007"/>
    <s v="GL-500100"/>
    <s v="12%"/>
    <s v="APPROVED"/>
    <s v="INV-6898"/>
    <s v="System Auto-Generated"/>
    <m/>
  </r>
  <r>
    <s v="PO-2024-2996"/>
    <x v="396"/>
    <x v="2"/>
    <s v="Software Licenses"/>
    <s v="CloudSaaS Corp"/>
    <n v="71657.34"/>
    <s v="GL-500100"/>
    <s v="12%"/>
    <s v="APPROVED"/>
    <s v="INV-9031"/>
    <s v="System Auto-Generated"/>
    <m/>
  </r>
  <r>
    <s v="PO-2024-2997"/>
    <x v="397"/>
    <x v="4"/>
    <s v="Office Supplies"/>
    <s v="CloudSaaS Corp"/>
    <n v="114499.52"/>
    <s v="GL-600300"/>
    <s v="12%"/>
    <s v="APPROVED"/>
    <m/>
    <s v="System Auto-Generated"/>
    <m/>
  </r>
  <r>
    <s v="PO-2024-2998"/>
    <x v="398"/>
    <x v="2"/>
    <s v="Hardware Procurement"/>
    <s v="PaperCorp Supplies"/>
    <n v="15461.51"/>
    <s v="GL-500200"/>
    <s v="12%"/>
    <s v="APPROVED"/>
    <s v="INV-4622"/>
    <s v="System Auto-Generated"/>
    <m/>
  </r>
  <r>
    <s v="PO-2024-3001"/>
    <x v="376"/>
    <x v="0"/>
    <s v="Office Supplies"/>
    <s v="Paper Corp"/>
    <n v="176479.47"/>
    <s v="GL-500200"/>
    <s v="12%"/>
    <s v="APPROVED"/>
    <s v="INV-4048"/>
    <s v="System Auto-Generated"/>
    <m/>
  </r>
  <r>
    <s v="PO-2024-3005"/>
    <x v="399"/>
    <x v="2"/>
    <s v="Cloud Infrastructure"/>
    <s v="CloudSaaS Corp"/>
    <n v="142538.68"/>
    <s v="GL-600300"/>
    <s v="12%"/>
    <s v="APPROVED"/>
    <s v="INV-6117"/>
    <s v="System Auto-Generated"/>
    <m/>
  </r>
  <r>
    <s v="PO-2024-3007"/>
    <x v="269"/>
    <x v="1"/>
    <s v="Cloud Infrastructure"/>
    <s v="PaperCorp Supplies"/>
    <n v="16045.28"/>
    <s v="GL-500200"/>
    <s v="12%"/>
    <s v="APPROVED"/>
    <s v="INV-7668"/>
    <s v="System Auto-Generated"/>
    <m/>
  </r>
  <r>
    <s v="PO-2024-3010"/>
    <x v="400"/>
    <x v="2"/>
    <s v="Cloud Infrastructure"/>
    <s v="TechDistributors Inc"/>
    <n v="248438.57"/>
    <s v="GL-600300"/>
    <s v="12%"/>
    <s v="APPROVED"/>
    <m/>
    <s v="   Urgent operational requirement!   "/>
    <m/>
  </r>
  <r>
    <s v="PO-2024-3013"/>
    <x v="401"/>
    <x v="0"/>
    <s v="Digital Advertising"/>
    <s v="TechDistributors Inc"/>
    <n v="17397.97"/>
    <s v="GL-500100"/>
    <s v="12%"/>
    <s v="APPROVED"/>
    <s v="INV-5028"/>
    <s v="System Auto-Generated"/>
    <m/>
  </r>
  <r>
    <s v="PO-2024-3014"/>
    <x v="162"/>
    <x v="0"/>
    <s v="Office Rent"/>
    <s v="CloudSaaS Corp"/>
    <n v="46061.03"/>
    <s v="GL-600300"/>
    <s v="12%"/>
    <s v="APPROVED"/>
    <m/>
    <s v="System Auto-Generated"/>
    <m/>
  </r>
  <r>
    <s v="PO-2024-3016"/>
    <x v="45"/>
    <x v="4"/>
    <s v="Travel &amp; Entertainment"/>
    <s v="TechDistributors Inc"/>
    <n v="19103.75"/>
    <s v="GL-600300"/>
    <s v="12%"/>
    <s v="APPROVED"/>
    <s v="INV-6166"/>
    <s v="System Auto-Generated"/>
    <m/>
  </r>
  <r>
    <s v="PO-2024-3017"/>
    <x v="90"/>
    <x v="2"/>
    <s v="Office Rent"/>
    <s v="PaperCorp Supplies"/>
    <n v="94514.19"/>
    <s v="GL-500200"/>
    <s v="0%"/>
    <s v="APPROVED"/>
    <s v="INV-6932"/>
    <s v="System Auto-Generated"/>
    <m/>
  </r>
  <r>
    <s v="PO-2024-3018"/>
    <x v="402"/>
    <x v="0"/>
    <s v="Office Supplies"/>
    <s v="Prime Space Realty"/>
    <n v="175086.68"/>
    <s v="GL-500200"/>
    <s v="12%"/>
    <s v="APPROVED"/>
    <s v="INV-5925"/>
    <s v="System Auto-Generated"/>
    <m/>
  </r>
  <r>
    <s v="PO-2024-3021"/>
    <x v="403"/>
    <x v="2"/>
    <s v="Cloud Infrastructure"/>
    <s v="TechDistributors Inc"/>
    <n v="204795.77"/>
    <s v="GL-500200"/>
    <s v="12%"/>
    <s v="APPROVED"/>
    <s v="INV-4146"/>
    <s v="System Auto-Generated"/>
    <m/>
  </r>
  <r>
    <s v="PO-2024-3023"/>
    <x v="404"/>
    <x v="0"/>
    <s v="Office Supplies"/>
    <s v="Paper Corp"/>
    <n v="181468.33"/>
    <s v="GL-500200"/>
    <s v="12%"/>
    <s v="APPROVED"/>
    <s v="INV-7585"/>
    <s v="System Auto-Generated"/>
    <m/>
  </r>
  <r>
    <s v="PO-2024-3024"/>
    <x v="309"/>
    <x v="1"/>
    <s v="Office Rent"/>
    <s v="GlobalMedia Ads"/>
    <n v="55533.3"/>
    <s v="GL-500100"/>
    <s v="12%"/>
    <s v="APPROVED"/>
    <m/>
    <s v="System Auto-Generated"/>
    <m/>
  </r>
  <r>
    <s v="PO-2024-3025"/>
    <x v="404"/>
    <x v="3"/>
    <s v="Software Licenses"/>
    <s v="TechDistributors Inc"/>
    <n v="117190.3"/>
    <s v="GL-500200"/>
    <s v="12%"/>
    <s v="APPROVED"/>
    <s v="INV-9502"/>
    <s v="System Auto-Generated"/>
    <m/>
  </r>
  <r>
    <s v="PO-2024-3026"/>
    <x v="405"/>
    <x v="2"/>
    <s v="Office Supplies"/>
    <s v="CloudSaaS Corp"/>
    <n v="76807.81"/>
    <s v="GL-500100"/>
    <s v="12%"/>
    <s v="APPROVED"/>
    <s v="INV-4267"/>
    <s v="   Urgent operational requirement!   "/>
    <m/>
  </r>
  <r>
    <s v="PO-2024-3028"/>
    <x v="406"/>
    <x v="1"/>
    <s v="Cloud Infrastructure"/>
    <s v="GlobalMedia Ads"/>
    <n v="103783.31"/>
    <s v="GL-600300"/>
    <s v="12%"/>
    <s v="APPROVED"/>
    <s v="INV-5143"/>
    <s v="   Urgent operational requirement!   "/>
    <m/>
  </r>
  <r>
    <s v="PO-2024-3030"/>
    <x v="407"/>
    <x v="2"/>
    <s v="Software Licenses"/>
    <s v="Prime Space Realty"/>
    <n v="123527.43"/>
    <s v="GL-600300"/>
    <s v="12%"/>
    <s v="APPROVED"/>
    <s v="INV-9447"/>
    <s v="System Auto-Generated"/>
    <m/>
  </r>
  <r>
    <s v="PO-2024-3032"/>
    <x v="408"/>
    <x v="1"/>
    <s v="Digital Advertising"/>
    <s v="GlobalMedia Ads"/>
    <n v="136809.69"/>
    <s v="GL-600300"/>
    <s v="12%"/>
    <s v="APPROVED"/>
    <m/>
    <s v="System Auto-Generated"/>
    <m/>
  </r>
  <r>
    <s v="PO-2024-3033"/>
    <x v="409"/>
    <x v="0"/>
    <s v="Office Supplies"/>
    <s v="TechDistributors Inc"/>
    <n v="50043.27"/>
    <s v="GL-500200"/>
    <s v="12%"/>
    <s v="APPROVED"/>
    <s v="INV-7740"/>
    <s v="   Urgent operational requirement!   "/>
    <m/>
  </r>
  <r>
    <s v="PO-2024-3034"/>
    <x v="404"/>
    <x v="0"/>
    <s v="Cloud Infrastructure"/>
    <s v="Prime Space Realty"/>
    <n v="229410"/>
    <s v="GL-500100"/>
    <s v="12%"/>
    <s v="APPROVED"/>
    <s v="INV-8006"/>
    <s v="System Auto-Generated"/>
    <m/>
  </r>
  <r>
    <s v="PO-2024-3037"/>
    <x v="410"/>
    <x v="0"/>
    <s v="Office Supplies"/>
    <s v="CloudSaaS Corp"/>
    <n v="62169.54"/>
    <s v="GL-500100"/>
    <s v="12%"/>
    <s v="APPROVED"/>
    <s v="INV-4906"/>
    <s v="   Urgent operational requirement!   "/>
    <m/>
  </r>
  <r>
    <s v="PO-2024-3039"/>
    <x v="411"/>
    <x v="2"/>
    <s v="Office Supplies"/>
    <s v="PaperCorp Supplies"/>
    <n v="140373.56"/>
    <s v="GL-500200"/>
    <s v="12%"/>
    <s v="APPROVED"/>
    <s v="INV-4279"/>
    <s v="System Auto-Generated"/>
    <m/>
  </r>
  <r>
    <s v="PO-2024-3040"/>
    <x v="412"/>
    <x v="0"/>
    <s v="Hardware Procurement"/>
    <s v="Prime Space Realty"/>
    <m/>
    <s v="GL-600300"/>
    <s v="0%"/>
    <s v="APPROVED"/>
    <m/>
    <s v="System Auto-Generated"/>
    <m/>
  </r>
  <r>
    <s v="PO-2024-3041"/>
    <x v="237"/>
    <x v="2"/>
    <s v="Software Licenses"/>
    <s v="Prime Space Realty"/>
    <n v="171886.18"/>
    <s v="GL-500200"/>
    <s v="12%"/>
    <s v="APPROVED"/>
    <m/>
    <s v="System Auto-Generated"/>
    <m/>
  </r>
  <r>
    <s v="PO-2024-3049"/>
    <x v="413"/>
    <x v="1"/>
    <s v="Software Licenses"/>
    <s v="CloudSaaS Corp"/>
    <n v="101130.65"/>
    <s v="GL-500200"/>
    <s v="12%"/>
    <s v="APPROVED"/>
    <s v="INV-8995"/>
    <s v="   Urgent operational requirement!   "/>
    <m/>
  </r>
  <r>
    <s v="PO-2024-3051"/>
    <x v="414"/>
    <x v="2"/>
    <s v="Hardware Procurement"/>
    <s v="PaperCorp Supplies"/>
    <n v="234856.02"/>
    <s v="GL-600300"/>
    <s v="12%"/>
    <s v="APPROVED"/>
    <s v="INV-8136"/>
    <s v="   Urgent operational requirement!   "/>
    <m/>
  </r>
  <r>
    <s v="PO-2024-3058"/>
    <x v="313"/>
    <x v="2"/>
    <s v="Digital Advertising"/>
    <s v="TechDistributors Inc"/>
    <n v="209962.76"/>
    <s v="GL-500200"/>
    <s v="12%"/>
    <s v="APPROVED"/>
    <s v="INV-4076"/>
    <s v="   Urgent operational requirement!   "/>
    <m/>
  </r>
  <r>
    <s v="PO-2024-3059"/>
    <x v="415"/>
    <x v="0"/>
    <s v="Office Rent"/>
    <s v="Prime Space Realty"/>
    <n v="11502.18"/>
    <s v="GL-500100"/>
    <s v="12%"/>
    <s v="APPROVED"/>
    <s v="INV-7188"/>
    <s v="System Auto-Generated"/>
    <m/>
  </r>
  <r>
    <s v="PO-2024-3061"/>
    <x v="416"/>
    <x v="2"/>
    <s v="Cloud Infrastructure"/>
    <s v="PaperCorp Supplies"/>
    <n v="231272.44"/>
    <s v="GL-500200"/>
    <s v="12%"/>
    <s v="APPROVED"/>
    <s v="INV-9615"/>
    <s v="System Auto-Generated"/>
    <m/>
  </r>
  <r>
    <s v="PO-2024-3062"/>
    <x v="417"/>
    <x v="2"/>
    <s v="Travel &amp; Entertainment"/>
    <s v="CloudSaaS Corp"/>
    <n v="24395.71"/>
    <s v="GL-500200"/>
    <s v="12%"/>
    <s v="APPROVED"/>
    <s v="INV-7523"/>
    <s v="System Auto-Generated"/>
    <m/>
  </r>
  <r>
    <s v="PO-2024-3063"/>
    <x v="418"/>
    <x v="2"/>
    <s v="Office Rent"/>
    <s v="PaperCorp Supplies"/>
    <n v="152055.04999999999"/>
    <s v="GL-500100"/>
    <s v="12%"/>
    <s v="APPROVED"/>
    <s v="INV-7235"/>
    <s v="System Auto-Generated"/>
    <m/>
  </r>
  <r>
    <s v="PO-2024-3065"/>
    <x v="308"/>
    <x v="0"/>
    <s v="Hardware Procurement"/>
    <s v="PaperCorp Supplies"/>
    <n v="180838.71"/>
    <s v="GL-600300"/>
    <s v="12%"/>
    <s v="APPROVED"/>
    <s v="INV-9396"/>
    <s v="System Auto-Generated"/>
    <m/>
  </r>
  <r>
    <s v="PO-2024-3066"/>
    <x v="419"/>
    <x v="2"/>
    <s v="Digital Advertising"/>
    <s v="GlobalMedia Ads"/>
    <n v="193048.68"/>
    <s v="GL-500200"/>
    <s v="12%"/>
    <s v="APPROVED"/>
    <s v="INV-9269"/>
    <s v="System Auto-Generated"/>
    <m/>
  </r>
  <r>
    <s v="PO-2024-3067"/>
    <x v="420"/>
    <x v="2"/>
    <s v="Cloud Infrastructure"/>
    <s v="Prime Space Realty"/>
    <n v="135507.34"/>
    <s v="GL-500200"/>
    <s v="12%"/>
    <s v="APPROVED"/>
    <s v="INV-4220"/>
    <s v="System Auto-Generated"/>
    <m/>
  </r>
  <r>
    <s v="PO-2024-3068"/>
    <x v="421"/>
    <x v="0"/>
    <s v="Software Licenses"/>
    <s v="TechDistributors Inc"/>
    <n v="201907.65"/>
    <s v="GL-500200"/>
    <s v="12%"/>
    <s v="APPROVED"/>
    <s v="INV-8824"/>
    <s v="System Auto-Generated"/>
    <m/>
  </r>
  <r>
    <s v="PO-2024-3069"/>
    <x v="422"/>
    <x v="2"/>
    <s v="Digital Advertising"/>
    <s v="GlobalMedia Ads"/>
    <n v="62391.21"/>
    <s v="GL-500100"/>
    <s v="0%"/>
    <s v="APPROVED"/>
    <s v="INV-9293"/>
    <s v="System Auto-Generated"/>
    <m/>
  </r>
  <r>
    <s v="PO-2024-3071"/>
    <x v="423"/>
    <x v="4"/>
    <s v="Software Licenses"/>
    <s v="Prime Space Realty"/>
    <n v="118566.39999999999"/>
    <s v="GL-500200"/>
    <s v="12%"/>
    <s v="APPROVED"/>
    <s v="INV-9671"/>
    <s v="System Auto-Generated"/>
    <m/>
  </r>
  <r>
    <s v="PO-2024-3072"/>
    <x v="62"/>
    <x v="2"/>
    <s v="Office Supplies"/>
    <s v="CloudSaaS Corp"/>
    <n v="216988.14"/>
    <s v="GL-500200"/>
    <s v="12%"/>
    <s v="APPROVED"/>
    <s v="INV-9474"/>
    <s v="System Auto-Generated"/>
    <m/>
  </r>
  <r>
    <s v="PO-2024-3073"/>
    <x v="424"/>
    <x v="1"/>
    <s v="Digital Advertising"/>
    <s v="GlobalMedia Ads"/>
    <n v="288235.31"/>
    <s v="GL-500200"/>
    <s v="12%"/>
    <s v="APPROVED"/>
    <s v="INV-4264"/>
    <s v="System Auto-Generated"/>
    <m/>
  </r>
  <r>
    <s v="PO-2024-3074"/>
    <x v="425"/>
    <x v="1"/>
    <s v="Hardware Procurement"/>
    <s v="PaperCorp Supplies"/>
    <n v="113819.32"/>
    <s v="GL-600300"/>
    <s v="12%"/>
    <s v="APPROVED"/>
    <s v="INV-5989"/>
    <s v="System Auto-Generated"/>
    <m/>
  </r>
  <r>
    <s v="PO-2024-3075"/>
    <x v="426"/>
    <x v="3"/>
    <s v="Office Rent"/>
    <s v="TechDistributors Inc"/>
    <n v="139988.94"/>
    <s v="GL-500200"/>
    <s v="12%"/>
    <s v="APPROVED"/>
    <m/>
    <s v="   Urgent operational requirement!   "/>
    <m/>
  </r>
  <r>
    <s v="PO-2024-3078"/>
    <x v="427"/>
    <x v="4"/>
    <s v="Hardware Procurement"/>
    <s v="CloudSaaS Corporation"/>
    <n v="205011"/>
    <s v="GL-500200"/>
    <s v="12%"/>
    <s v="APPROVED"/>
    <m/>
    <s v="   Urgent operational requirement!   "/>
    <m/>
  </r>
  <r>
    <s v="PO-2024-3079"/>
    <x v="202"/>
    <x v="0"/>
    <s v="Travel &amp; Entertainment"/>
    <s v="Prime Space Realty"/>
    <n v="163043.76"/>
    <s v="GL-500100"/>
    <s v="12%"/>
    <s v="APPROVED"/>
    <s v="INV-8831"/>
    <s v="   Urgent operational requirement!   "/>
    <m/>
  </r>
  <r>
    <s v="PO-2024-3080"/>
    <x v="299"/>
    <x v="2"/>
    <s v="Office Supplies"/>
    <s v="Tech Distributors"/>
    <n v="114989.61"/>
    <s v="GL-500100"/>
    <s v="12%"/>
    <s v="APPROVED"/>
    <s v="INV-8166"/>
    <s v="   Urgent operational requirement!   "/>
    <m/>
  </r>
  <r>
    <s v="PO-2024-3085"/>
    <x v="100"/>
    <x v="4"/>
    <s v="Digital Advertising"/>
    <s v="Prime Space Realty"/>
    <n v="101735.17"/>
    <s v="GL-500200"/>
    <s v="12%"/>
    <s v="APPROVED"/>
    <s v="INV-9296"/>
    <s v="   Urgent operational requirement!   "/>
    <m/>
  </r>
  <r>
    <s v="PO-2024-3087"/>
    <x v="428"/>
    <x v="2"/>
    <s v="Cloud Infrastructure"/>
    <s v="PaperCorp Supplies"/>
    <n v="228486.14"/>
    <s v="GL-500200"/>
    <s v="12%"/>
    <s v="APPROVED"/>
    <s v="INV-4410"/>
    <s v="System Auto-Generated"/>
    <m/>
  </r>
  <r>
    <s v="PO-2024-3090"/>
    <x v="429"/>
    <x v="1"/>
    <s v="Cloud Infrastructure"/>
    <s v="Prime Space Realty"/>
    <n v="129750.91"/>
    <s v="GL-500100"/>
    <s v="0%"/>
    <s v="APPROVED"/>
    <s v="INV-4661"/>
    <s v="System Auto-Generated"/>
    <m/>
  </r>
  <r>
    <s v="PO-2024-3091"/>
    <x v="393"/>
    <x v="4"/>
    <s v="Travel &amp; Entertainment"/>
    <s v="CloudSaaS Corp"/>
    <n v="165680.48000000001"/>
    <s v="GL-500100"/>
    <s v="12%"/>
    <s v="APPROVED"/>
    <s v="INV-7661"/>
    <s v="System Auto-Generated"/>
    <m/>
  </r>
  <r>
    <s v="PO-2024-3093"/>
    <x v="230"/>
    <x v="4"/>
    <s v="Office Supplies"/>
    <s v="GlobalMedia Ads"/>
    <n v="143117.1"/>
    <s v="GL-500100"/>
    <s v="12%"/>
    <s v="APPROVED"/>
    <s v="INV-9345"/>
    <s v="System Auto-Generated"/>
    <m/>
  </r>
  <r>
    <s v="PO-2024-3094"/>
    <x v="430"/>
    <x v="1"/>
    <s v="Software Licenses"/>
    <s v="GlobalMedia Ads"/>
    <n v="42663.49"/>
    <s v="GL-500100"/>
    <s v="12%"/>
    <s v="APPROVED"/>
    <s v="INV-8105"/>
    <s v="System Auto-Generated"/>
    <m/>
  </r>
  <r>
    <s v="PO-2024-3095"/>
    <x v="431"/>
    <x v="2"/>
    <s v="Software Licenses"/>
    <s v="Tech Distributors"/>
    <n v="58172.2"/>
    <s v="GL-500100"/>
    <s v="12%"/>
    <s v="APPROVED"/>
    <s v="INV-9997"/>
    <s v="System Auto-Generated"/>
    <m/>
  </r>
  <r>
    <s v="PO-2024-3096"/>
    <x v="327"/>
    <x v="1"/>
    <s v="Office Rent"/>
    <s v="GlobalMedia Ads"/>
    <n v="117074.75"/>
    <s v="GL-500100"/>
    <s v="12%"/>
    <s v="APPROVED"/>
    <s v="INV-9649"/>
    <s v="System Auto-Generated"/>
    <m/>
  </r>
  <r>
    <s v="PO-2024-3097"/>
    <x v="432"/>
    <x v="2"/>
    <s v="Hardware Procurement"/>
    <s v="CloudSaaS Corp"/>
    <n v="22872.32"/>
    <s v="GL-600300"/>
    <s v="12%"/>
    <s v="APPROVED"/>
    <s v="INV-6800"/>
    <s v="System Auto-Generated"/>
    <m/>
  </r>
  <r>
    <s v="PO-2024-3098"/>
    <x v="433"/>
    <x v="0"/>
    <s v="Hardware Procurement"/>
    <s v="CloudSaaS Corp"/>
    <n v="57219.519999999997"/>
    <s v="GL-600300"/>
    <s v="12%"/>
    <s v="APPROVED"/>
    <s v="INV-4766"/>
    <s v="System Auto-Generated"/>
    <m/>
  </r>
  <r>
    <s v="PO-2024-3099"/>
    <x v="434"/>
    <x v="0"/>
    <s v="Digital Advertising"/>
    <s v="Prime Space Realty"/>
    <n v="206972.85"/>
    <s v="GL-500100"/>
    <s v="0%"/>
    <s v="APPROVED"/>
    <s v="INV-6427"/>
    <s v="   Urgent operational requirement!   "/>
    <m/>
  </r>
  <r>
    <s v="PO-2024-3102"/>
    <x v="435"/>
    <x v="1"/>
    <s v="Office Supplies"/>
    <s v="GlobalMedia Ads"/>
    <n v="195204.09"/>
    <s v="GL-500200"/>
    <s v="12%"/>
    <s v="APPROVED"/>
    <s v="INV-4020"/>
    <s v="   Urgent operational requirement!   "/>
    <m/>
  </r>
  <r>
    <s v="PO-2024-3103"/>
    <x v="145"/>
    <x v="0"/>
    <s v="Office Rent"/>
    <s v="PaperCorp Supplies"/>
    <n v="56788.66"/>
    <s v="GL-600300"/>
    <s v="12%"/>
    <s v="APPROVED"/>
    <s v="INV-5475"/>
    <s v="System Auto-Generated"/>
    <m/>
  </r>
  <r>
    <s v="PO-2024-3104"/>
    <x v="436"/>
    <x v="1"/>
    <s v="Software Licenses"/>
    <s v="CloudSaaS Corp"/>
    <n v="46352.85"/>
    <s v="GL-600300"/>
    <s v="12%"/>
    <s v="APPROVED"/>
    <s v="INV-8297"/>
    <s v="System Auto-Generated"/>
    <m/>
  </r>
  <r>
    <s v="PO-2024-3106"/>
    <x v="306"/>
    <x v="1"/>
    <s v="Hardware Procurement"/>
    <s v="TechDistributors Inc"/>
    <n v="260416.45"/>
    <s v="GL-600300"/>
    <s v="0%"/>
    <s v="APPROVED"/>
    <s v="INV-5058"/>
    <s v="System Auto-Generated"/>
    <m/>
  </r>
  <r>
    <s v="PO-2024-3109"/>
    <x v="437"/>
    <x v="0"/>
    <s v="Travel &amp; Entertainment"/>
    <s v="PaperCorp Supplies"/>
    <n v="47936.41"/>
    <s v="GL-600300"/>
    <s v="12%"/>
    <s v="APPROVED"/>
    <m/>
    <s v="System Auto-Generated"/>
    <m/>
  </r>
  <r>
    <s v="PO-2024-3110"/>
    <x v="398"/>
    <x v="2"/>
    <s v="Hardware Procurement"/>
    <s v="Tech Distributors"/>
    <n v="27885.72"/>
    <s v="GL-500200"/>
    <s v="0%"/>
    <s v="APPROVED"/>
    <m/>
    <s v="System Auto-Generated"/>
    <m/>
  </r>
  <r>
    <s v="PO-2024-3111"/>
    <x v="130"/>
    <x v="4"/>
    <s v="Hardware Procurement"/>
    <s v="GlobalMedia Ads"/>
    <n v="33822.35"/>
    <s v="GL-500200"/>
    <s v="12%"/>
    <s v="APPROVED"/>
    <s v="INV-7773"/>
    <s v="System Auto-Generated"/>
    <m/>
  </r>
  <r>
    <s v="PO-2024-3115"/>
    <x v="438"/>
    <x v="0"/>
    <s v="Cloud Infrastructure"/>
    <s v="PaperCorp Supplies"/>
    <n v="40408.699999999997"/>
    <s v="GL-500100"/>
    <s v="12%"/>
    <s v="APPROVED"/>
    <s v="INV-4964"/>
    <s v="System Auto-Generated"/>
    <m/>
  </r>
  <r>
    <s v="PO-2024-3117"/>
    <x v="439"/>
    <x v="4"/>
    <s v="Cloud Infrastructure"/>
    <s v="TechDistributors Inc"/>
    <n v="136366.1"/>
    <s v="GL-600300"/>
    <s v="12%"/>
    <s v="APPROVED"/>
    <s v="INV-8771"/>
    <s v="System Auto-Generated"/>
    <m/>
  </r>
  <r>
    <s v="PO-2024-3118"/>
    <x v="440"/>
    <x v="2"/>
    <s v="Office Supplies"/>
    <s v="CloudSaaS Corp"/>
    <n v="191005.89"/>
    <s v="GL-600300"/>
    <s v="12%"/>
    <s v="APPROVED"/>
    <s v="INV-8372"/>
    <s v="System Auto-Generated"/>
    <m/>
  </r>
  <r>
    <s v="   "/>
    <x v="62"/>
    <x v="1"/>
    <s v="Travel &amp; Entertainment"/>
    <s v="PaperCorp Supplies"/>
    <n v="290959.21999999997"/>
    <s v="GL-500100"/>
    <s v="12%"/>
    <s v="APPROVED"/>
    <s v="INV-6235"/>
    <s v="System Auto-Generated"/>
    <m/>
  </r>
  <r>
    <s v="PO-2024-3122"/>
    <x v="441"/>
    <x v="1"/>
    <s v="Software Licenses"/>
    <s v="TechDistributors Inc"/>
    <n v="124781"/>
    <s v="GL-500200"/>
    <s v="12%"/>
    <s v="APPROVED"/>
    <s v="INV-7845"/>
    <s v="   Urgent operational requirement!   "/>
    <m/>
  </r>
  <r>
    <s v="PO-2024-3123"/>
    <x v="72"/>
    <x v="2"/>
    <s v="Hardware Procurement"/>
    <s v="TechDistributors Inc"/>
    <n v="277964.53000000003"/>
    <s v="GL-500100"/>
    <s v="12%"/>
    <s v="APPROVED"/>
    <s v="INV-8645"/>
    <s v="System Auto-Generated"/>
    <m/>
  </r>
  <r>
    <s v="PO-2024-3125"/>
    <x v="370"/>
    <x v="3"/>
    <s v="Office Rent"/>
    <s v="Prime Space Realty"/>
    <n v="48031.74"/>
    <s v="GL-500200"/>
    <s v="12%"/>
    <s v="APPROVED"/>
    <s v="INV-9621"/>
    <s v="   Urgent operational requirement!   "/>
    <m/>
  </r>
  <r>
    <s v="PO-2024-3130"/>
    <x v="442"/>
    <x v="2"/>
    <s v="Cloud Infrastructure"/>
    <s v="GlobalMedia Ads"/>
    <n v="224542.59"/>
    <s v="GL-600300"/>
    <s v="12%"/>
    <s v="APPROVED"/>
    <s v="INV-6530"/>
    <s v="System Auto-Generated"/>
    <m/>
  </r>
  <r>
    <s v="PO-2024-3131"/>
    <x v="442"/>
    <x v="0"/>
    <s v="Travel &amp; Entertainment"/>
    <s v="TechDistributors Inc"/>
    <n v="38795.19"/>
    <s v="GL-500100"/>
    <s v="12%"/>
    <s v="APPROVED"/>
    <s v="INV-7788"/>
    <s v="   Urgent operational requirement!   "/>
    <m/>
  </r>
  <r>
    <s v="PO-2024-3132"/>
    <x v="443"/>
    <x v="2"/>
    <s v="Cloud Infrastructure"/>
    <s v="CloudSaaS Corp"/>
    <n v="142828.4"/>
    <s v="GL-500100"/>
    <s v="12%"/>
    <s v="APPROVED"/>
    <s v="INV-4814"/>
    <s v="System Auto-Generated"/>
    <m/>
  </r>
  <r>
    <s v="   "/>
    <x v="444"/>
    <x v="1"/>
    <s v="Travel &amp; Entertainment"/>
    <s v="PaperCorp Supplies"/>
    <n v="37087.870000000003"/>
    <s v="GL-600300"/>
    <s v="12%"/>
    <s v="APPROVED"/>
    <s v="INV-4115"/>
    <s v="System Auto-Generated"/>
    <m/>
  </r>
  <r>
    <s v="PO-2024-3138"/>
    <x v="364"/>
    <x v="1"/>
    <s v="Software Licenses"/>
    <s v="CloudSaaS Corp"/>
    <n v="113934.34"/>
    <s v="GL-500200"/>
    <s v="12%"/>
    <s v="APPROVED"/>
    <m/>
    <s v="System Auto-Generated"/>
    <m/>
  </r>
  <r>
    <s v="PO-2024-3140"/>
    <x v="445"/>
    <x v="2"/>
    <s v="Office Rent"/>
    <s v="PaperCorp Supplies"/>
    <n v="202182.41"/>
    <s v="GL-500200"/>
    <s v="12%"/>
    <s v="APPROVED"/>
    <m/>
    <s v="System Auto-Generated"/>
    <m/>
  </r>
  <r>
    <s v="PO-2024-3142"/>
    <x v="446"/>
    <x v="4"/>
    <s v="Cloud Infrastructure"/>
    <s v="PaperCorp Supplies"/>
    <n v="201558.96"/>
    <s v="GL-600300"/>
    <s v="12%"/>
    <s v="APPROVED"/>
    <m/>
    <s v="System Auto-Generated"/>
    <m/>
  </r>
  <r>
    <s v="PO-2024-3146"/>
    <x v="447"/>
    <x v="0"/>
    <s v="Office Rent"/>
    <s v="CloudSaaS Corp"/>
    <n v="205611.74"/>
    <s v="GL-500100"/>
    <s v="12%"/>
    <s v="APPROVED"/>
    <s v="INV-8093"/>
    <s v="   Urgent operational requirement!   "/>
    <m/>
  </r>
  <r>
    <s v="PO-2024-3147"/>
    <x v="328"/>
    <x v="0"/>
    <s v="Cloud Infrastructure"/>
    <s v="GlobalMedia Ads"/>
    <n v="9629.33"/>
    <s v="GL-600300"/>
    <s v="12%"/>
    <s v="APPROVED"/>
    <s v="INV-8613"/>
    <s v="   Urgent operational requirement!   "/>
    <m/>
  </r>
  <r>
    <s v="PO-2024-3148"/>
    <x v="448"/>
    <x v="1"/>
    <s v="Cloud Infrastructure"/>
    <s v="TechDistributors Inc"/>
    <n v="192897.48"/>
    <s v="GL-500200"/>
    <s v="12%"/>
    <s v="APPROVED"/>
    <s v="INV-5011"/>
    <s v="System Auto-Generated"/>
    <m/>
  </r>
  <r>
    <s v="PO-2024-3150"/>
    <x v="449"/>
    <x v="3"/>
    <s v="Office Supplies"/>
    <s v="TechDistributors Inc"/>
    <n v="16983.7"/>
    <s v="GL-500200"/>
    <s v="12%"/>
    <s v="APPROVED"/>
    <s v="INV-7229"/>
    <s v="System Auto-Generated"/>
    <m/>
  </r>
  <r>
    <s v="PO-2024-3151"/>
    <x v="450"/>
    <x v="1"/>
    <s v="Office Supplies"/>
    <s v="CloudSaaS Corp"/>
    <n v="302180.24"/>
    <s v="GL-500100"/>
    <s v="12%"/>
    <s v="APPROVED"/>
    <s v="INV-5903"/>
    <s v="System Auto-Generated"/>
    <m/>
  </r>
  <r>
    <s v="PO-2024-3153"/>
    <x v="302"/>
    <x v="2"/>
    <s v="Office Rent"/>
    <s v="GlobalMedia Ads"/>
    <n v="101266.94"/>
    <s v="GL-600300"/>
    <s v="12%"/>
    <s v="APPROVED"/>
    <s v="INV-5014"/>
    <s v="System Auto-Generated"/>
    <m/>
  </r>
  <r>
    <s v="PO-2024-3154"/>
    <x v="451"/>
    <x v="0"/>
    <s v="Digital Advertising"/>
    <s v="Prime Space Realty"/>
    <n v="164946.44"/>
    <s v="GL-600300"/>
    <s v="12%"/>
    <s v="APPROVED"/>
    <s v="INV-4898"/>
    <s v="System Auto-Generated"/>
    <m/>
  </r>
  <r>
    <s v="PO-2024-3157"/>
    <x v="452"/>
    <x v="1"/>
    <s v="Hardware Procurement"/>
    <s v="PaperCorp Supplies"/>
    <n v="62231.86"/>
    <s v="GL-500100"/>
    <s v="12%"/>
    <s v="APPROVED"/>
    <s v="INV-6120"/>
    <s v="System Auto-Generated"/>
    <m/>
  </r>
  <r>
    <s v="PO-2024-3159"/>
    <x v="453"/>
    <x v="0"/>
    <s v="Software Licenses"/>
    <s v="GlobalMedia Ads"/>
    <n v="165101.1"/>
    <s v="GL-500200"/>
    <s v="12%"/>
    <s v="APPROVED"/>
    <s v="INV-6785"/>
    <s v="System Auto-Generated"/>
    <m/>
  </r>
  <r>
    <s v="PO-2024-3163"/>
    <x v="108"/>
    <x v="0"/>
    <s v="Cloud Infrastructure"/>
    <s v="GlobalMedia Ads"/>
    <n v="180398.14"/>
    <s v="GL-500100"/>
    <s v="12%"/>
    <s v="APPROVED"/>
    <s v="INV-4015"/>
    <s v="System Auto-Generated"/>
    <m/>
  </r>
  <r>
    <s v="PO-2024-3166"/>
    <x v="454"/>
    <x v="0"/>
    <s v="Office Rent"/>
    <s v="TechDistributors Inc"/>
    <n v="49124"/>
    <s v="GL-600300"/>
    <s v="12%"/>
    <s v="APPROVED"/>
    <s v="INV-5134"/>
    <s v="   Urgent operational requirement!   "/>
    <m/>
  </r>
  <r>
    <s v="PO-2024-3168"/>
    <x v="273"/>
    <x v="0"/>
    <s v="Software Licenses"/>
    <s v="PaperCorp Supplies"/>
    <n v="122408.97"/>
    <s v="GL-600300"/>
    <s v="12%"/>
    <s v="APPROVED"/>
    <s v="INV-8064"/>
    <s v="   Urgent operational requirement!   "/>
    <m/>
  </r>
  <r>
    <s v="PO-2024-3170"/>
    <x v="382"/>
    <x v="1"/>
    <s v="Office Supplies"/>
    <s v="PaperCorp Supplies"/>
    <m/>
    <s v="GL-500100"/>
    <s v="12%"/>
    <s v="APPROVED"/>
    <s v="INV-6464"/>
    <s v="System Auto-Generated"/>
    <m/>
  </r>
  <r>
    <s v="PO-2024-3171"/>
    <x v="455"/>
    <x v="4"/>
    <s v="Cloud Infrastructure"/>
    <s v="TechDistributors Inc"/>
    <n v="38283.120000000003"/>
    <s v="GL-500100"/>
    <s v="12%"/>
    <s v="APPROVED"/>
    <s v="INV-6182"/>
    <s v="   Urgent operational requirement!   "/>
    <m/>
  </r>
  <r>
    <s v="PO-2024-3172"/>
    <x v="333"/>
    <x v="0"/>
    <s v="Travel &amp; Entertainment"/>
    <s v="GlobalMedia Ads"/>
    <n v="34982.71"/>
    <s v="GL-500100"/>
    <s v="12%"/>
    <s v="APPROVED"/>
    <m/>
    <s v="System Auto-Generated"/>
    <m/>
  </r>
  <r>
    <s v="PO-2024-3173"/>
    <x v="250"/>
    <x v="1"/>
    <s v="Office Rent"/>
    <s v="PaperCorp Supplies"/>
    <n v="130366.82"/>
    <s v="GL-600300"/>
    <s v="12%"/>
    <s v="APPROVED"/>
    <s v="INV-7106"/>
    <s v="   Urgent operational requirement!   "/>
    <m/>
  </r>
  <r>
    <s v="PO-2024-3175"/>
    <x v="456"/>
    <x v="3"/>
    <s v="Office Rent"/>
    <s v="PaperCorp Supplies"/>
    <n v="34380.89"/>
    <s v="GL-500200"/>
    <s v="12%"/>
    <s v="APPROVED"/>
    <s v="INV-9921"/>
    <s v="System Auto-Generated"/>
    <m/>
  </r>
  <r>
    <s v="PO-2024-3176"/>
    <x v="457"/>
    <x v="1"/>
    <s v="Travel &amp; Entertainment"/>
    <s v="Prime Space Realty"/>
    <n v="65136.42"/>
    <s v="GL-500200"/>
    <s v="12%"/>
    <s v="APPROVED"/>
    <s v="INV-8333"/>
    <s v="System Auto-Generated"/>
    <m/>
  </r>
  <r>
    <s v="PO-2024-3178"/>
    <x v="458"/>
    <x v="1"/>
    <s v="Office Rent"/>
    <s v="PaperCorp Supplies"/>
    <n v="17718.759999999998"/>
    <s v="GL-500100"/>
    <s v="12%"/>
    <s v="APPROVED"/>
    <m/>
    <s v="System Auto-Generated"/>
    <m/>
  </r>
  <r>
    <s v="   "/>
    <x v="334"/>
    <x v="4"/>
    <s v="Travel &amp; Entertainment"/>
    <s v="PaperCorp Supplies"/>
    <n v="57694.96"/>
    <s v="GL-500100"/>
    <s v="0%"/>
    <s v="APPROVED"/>
    <s v="INV-8535"/>
    <s v="System Auto-Generated"/>
    <m/>
  </r>
  <r>
    <s v="PO-2024-3183"/>
    <x v="314"/>
    <x v="1"/>
    <s v="Travel &amp; Entertainment"/>
    <s v="CloudSaaS Corporation"/>
    <n v="125241.61"/>
    <s v="GL-500200"/>
    <s v="12%"/>
    <s v="APPROVED"/>
    <s v="INV-9746"/>
    <s v="System Auto-Generated"/>
    <m/>
  </r>
  <r>
    <s v="PO-2024-3184"/>
    <x v="459"/>
    <x v="0"/>
    <s v="Office Rent"/>
    <s v="PaperCorp Supplies"/>
    <n v="222075.1"/>
    <s v="GL-500100"/>
    <s v="12%"/>
    <s v="APPROVED"/>
    <m/>
    <s v="   Urgent operational requirement!   "/>
    <m/>
  </r>
  <r>
    <s v="PO-2024-3185"/>
    <x v="460"/>
    <x v="1"/>
    <s v="Digital Advertising"/>
    <s v="GlobalMedia Ads"/>
    <n v="57070"/>
    <s v="GL-500200"/>
    <s v="12%"/>
    <s v="APPROVED"/>
    <s v="INV-5687"/>
    <s v="   Urgent operational requirement!   "/>
    <m/>
  </r>
  <r>
    <s v="PO-2024-3187"/>
    <x v="236"/>
    <x v="2"/>
    <s v="Hardware Procurement"/>
    <s v="CloudSaaS Corp"/>
    <n v="147428.18"/>
    <s v="GL-500200"/>
    <s v="12%"/>
    <s v="APPROVED"/>
    <s v="INV-5807"/>
    <s v="System Auto-Generated"/>
    <m/>
  </r>
  <r>
    <s v="PO-2024-3192"/>
    <x v="461"/>
    <x v="2"/>
    <s v="Software Licenses"/>
    <s v="TechDistributors Inc"/>
    <n v="287157.21999999997"/>
    <s v="GL-500100"/>
    <s v="12%"/>
    <s v="APPROVED"/>
    <s v="INV-7340"/>
    <s v="System Auto-Generated"/>
    <m/>
  </r>
  <r>
    <s v="PO-2024-3194"/>
    <x v="30"/>
    <x v="2"/>
    <s v="Digital Advertising"/>
    <s v="TechDistributors Inc"/>
    <n v="24783.41"/>
    <s v="GL-600300"/>
    <s v="12%"/>
    <s v="APPROVED"/>
    <s v="INV-7714"/>
    <s v="   Urgent operational requirement!   "/>
    <m/>
  </r>
  <r>
    <s v="PO-2024-3195"/>
    <x v="462"/>
    <x v="1"/>
    <s v="Software Licenses"/>
    <s v="GlobalMedia Ads"/>
    <n v="291908.2"/>
    <s v="GL-500100"/>
    <s v="12%"/>
    <s v="APPROVED"/>
    <s v="INV-5823"/>
    <s v="System Auto-Generated"/>
    <m/>
  </r>
  <r>
    <s v="PO-2024-3196"/>
    <x v="463"/>
    <x v="1"/>
    <s v="Office Rent"/>
    <s v="PaperCorp Supplies"/>
    <n v="95728.68"/>
    <s v="GL-600300"/>
    <s v="12%"/>
    <s v="APPROVED"/>
    <s v="INV-7599"/>
    <s v="   Urgent operational requirement!   "/>
    <m/>
  </r>
  <r>
    <s v="PO-2024-3197"/>
    <x v="30"/>
    <x v="1"/>
    <s v="Software Licenses"/>
    <s v="PaperCorp Supplies"/>
    <n v="21863.87"/>
    <s v="GL-600300"/>
    <s v="12%"/>
    <s v="APPROVED"/>
    <s v="INV-9617"/>
    <s v="System Auto-Generated"/>
    <m/>
  </r>
  <r>
    <s v="   "/>
    <x v="464"/>
    <x v="3"/>
    <s v="Cloud Infrastructure"/>
    <s v="Tech Distributors"/>
    <n v="237014.68"/>
    <s v="GL-500200"/>
    <s v="12%"/>
    <s v="APPROVED"/>
    <s v="INV-7815"/>
    <s v="System Auto-Generated"/>
    <m/>
  </r>
  <r>
    <s v="PO-2024-3201"/>
    <x v="348"/>
    <x v="4"/>
    <s v="Digital Advertising"/>
    <s v="GlobalMedia Ads"/>
    <n v="233045.13"/>
    <s v="GL-500100"/>
    <s v="12%"/>
    <s v="APPROVED"/>
    <s v="INV-5285"/>
    <s v="   Urgent operational requirement!   "/>
    <m/>
  </r>
  <r>
    <s v="PO-2024-3207"/>
    <x v="465"/>
    <x v="0"/>
    <s v="Cloud Infrastructure"/>
    <s v="CloudSaaS Corp"/>
    <n v="190104.12"/>
    <s v="GL-500200"/>
    <s v="12%"/>
    <s v="APPROVED"/>
    <m/>
    <s v="System Auto-Generated"/>
    <m/>
  </r>
  <r>
    <s v="PO-2024-3210"/>
    <x v="466"/>
    <x v="1"/>
    <s v="Digital Advertising"/>
    <s v="GlobalMedia Ads"/>
    <n v="85879"/>
    <s v="GL-500100"/>
    <s v="12%"/>
    <s v="APPROVED"/>
    <s v="INV-6751"/>
    <s v="   Urgent operational requirement!   "/>
    <m/>
  </r>
  <r>
    <s v="PO-2024-3212"/>
    <x v="467"/>
    <x v="2"/>
    <s v="Hardware Procurement"/>
    <s v="TechDistributors Inc"/>
    <n v="205452.93"/>
    <s v="GL-600300"/>
    <s v="12%"/>
    <s v="APPROVED"/>
    <m/>
    <s v="System Auto-Generated"/>
    <m/>
  </r>
  <r>
    <s v="PO-2024-3213"/>
    <x v="424"/>
    <x v="2"/>
    <s v="Travel &amp; Entertainment"/>
    <s v="Prime Space Realty"/>
    <n v="11342.06"/>
    <s v="GL-500200"/>
    <s v="12%"/>
    <s v="APPROVED"/>
    <s v="INV-5009"/>
    <s v="System Auto-Generated"/>
    <m/>
  </r>
  <r>
    <s v="PO-2024-3214"/>
    <x v="468"/>
    <x v="0"/>
    <s v="Software Licenses"/>
    <s v="CloudSaaS Corp"/>
    <n v="106904.06"/>
    <s v="GL-500200"/>
    <s v="12%"/>
    <s v="APPROVED"/>
    <s v="INV-9134"/>
    <s v="   Urgent operational requirement!   "/>
    <m/>
  </r>
  <r>
    <s v="PO-2024-3215"/>
    <x v="135"/>
    <x v="1"/>
    <s v="Cloud Infrastructure"/>
    <s v="Tech Distributors"/>
    <n v="112929.93"/>
    <s v="GL-500100"/>
    <s v="12%"/>
    <s v="APPROVED"/>
    <s v="INV-9919"/>
    <s v="System Auto-Generated"/>
    <m/>
  </r>
  <r>
    <s v="PO-2024-3216"/>
    <x v="469"/>
    <x v="4"/>
    <s v="Travel &amp; Entertainment"/>
    <s v="TechDistributors Inc"/>
    <n v="143911.63"/>
    <s v="GL-500100"/>
    <s v="12%"/>
    <s v="APPROVED"/>
    <s v="INV-8427"/>
    <s v="System Auto-Generated"/>
    <m/>
  </r>
  <r>
    <s v="PO-2024-3218"/>
    <x v="470"/>
    <x v="1"/>
    <s v="Hardware Procurement"/>
    <s v="Prime Space Realty"/>
    <n v="226198.13"/>
    <s v="GL-600300"/>
    <s v="12%"/>
    <s v="APPROVED"/>
    <m/>
    <s v="System Auto-Generated"/>
    <m/>
  </r>
  <r>
    <s v="PO-2024-3221"/>
    <x v="471"/>
    <x v="1"/>
    <s v="Office Rent"/>
    <s v="TechDistributors Inc"/>
    <n v="250787.62"/>
    <s v="GL-600300"/>
    <s v="12%"/>
    <s v="APPROVED"/>
    <s v="INV-7042"/>
    <s v="   Urgent operational requirement!   "/>
    <m/>
  </r>
  <r>
    <s v="PO-2024-3225"/>
    <x v="354"/>
    <x v="3"/>
    <s v="Travel &amp; Entertainment"/>
    <s v="GlobalMedia Ads"/>
    <n v="42520.5"/>
    <s v="GL-500100"/>
    <s v="12%"/>
    <s v="APPROVED"/>
    <s v="INV-7088"/>
    <s v="   Urgent operational requirement!   "/>
    <m/>
  </r>
  <r>
    <s v="PO-2024-3226"/>
    <x v="472"/>
    <x v="1"/>
    <s v="Travel &amp; Entertainment"/>
    <s v="PaperCorp Supplies"/>
    <n v="16150.95"/>
    <s v="GL-500100"/>
    <s v="12%"/>
    <s v="APPROVED"/>
    <m/>
    <s v="System Auto-Generated"/>
    <m/>
  </r>
  <r>
    <s v="PO-2024-3227"/>
    <x v="473"/>
    <x v="1"/>
    <s v="Digital Advertising"/>
    <s v="CloudSaaS Corp"/>
    <n v="165842.99"/>
    <s v="GL-600300"/>
    <s v="12%"/>
    <s v="APPROVED"/>
    <s v="INV-6255"/>
    <s v="System Auto-Generated"/>
    <m/>
  </r>
  <r>
    <s v="PO-2024-3231"/>
    <x v="474"/>
    <x v="0"/>
    <s v="Office Supplies"/>
    <s v="CloudSaaS Corp"/>
    <n v="205179.03"/>
    <s v="GL-500200"/>
    <s v="12%"/>
    <s v="APPROVED"/>
    <s v="INV-4984"/>
    <s v="   Urgent operational requirement!   "/>
    <m/>
  </r>
  <r>
    <s v="PO-2024-3235"/>
    <x v="466"/>
    <x v="4"/>
    <s v="Digital Advertising"/>
    <s v="GlobalMedia Ads"/>
    <m/>
    <s v="GL-600300"/>
    <s v="12%"/>
    <s v="APPROVED"/>
    <s v="INV-6961"/>
    <s v="System Auto-Generated"/>
    <m/>
  </r>
  <r>
    <s v="PO-2024-3239"/>
    <x v="310"/>
    <x v="4"/>
    <s v="Digital Advertising"/>
    <s v="PaperCorp Supplies"/>
    <n v="127943.61"/>
    <s v="GL-500200"/>
    <s v="12%"/>
    <s v="APPROVED"/>
    <s v="INV-9447"/>
    <s v="   Urgent operational requirement!   "/>
    <m/>
  </r>
  <r>
    <s v="PO-2024-3240"/>
    <x v="475"/>
    <x v="0"/>
    <s v="Office Supplies"/>
    <s v="TechDistributors Inc"/>
    <n v="96459.96"/>
    <s v="GL-500100"/>
    <s v="0%"/>
    <s v="APPROVED"/>
    <s v="INV-4555"/>
    <s v="System Auto-Generated"/>
    <m/>
  </r>
  <r>
    <s v="PO-2024-3243"/>
    <x v="371"/>
    <x v="0"/>
    <s v="Hardware Procurement"/>
    <s v="Prime Space Realty"/>
    <n v="100374.2"/>
    <s v="GL-600300"/>
    <s v="0%"/>
    <s v="APPROVED"/>
    <s v="INV-9102"/>
    <s v="System Auto-Generated"/>
    <m/>
  </r>
  <r>
    <s v="PO-2024-3245"/>
    <x v="476"/>
    <x v="0"/>
    <s v="Hardware Procurement"/>
    <s v="Prime Space Realty"/>
    <n v="140412.54999999999"/>
    <s v="GL-500200"/>
    <s v="12%"/>
    <s v="APPROVED"/>
    <s v="INV-4887"/>
    <s v="System Auto-Generated"/>
    <m/>
  </r>
  <r>
    <s v="PO-2024-3246"/>
    <x v="298"/>
    <x v="2"/>
    <s v="Software Licenses"/>
    <s v="PaperCorp Supplies"/>
    <n v="124103.72"/>
    <s v="GL-600300"/>
    <s v="12%"/>
    <s v="APPROVED"/>
    <m/>
    <s v="System Auto-Generated"/>
    <m/>
  </r>
  <r>
    <s v="PO-2024-3247"/>
    <x v="477"/>
    <x v="0"/>
    <s v="Hardware Procurement"/>
    <s v="Prime Space Realty"/>
    <n v="111999.96"/>
    <s v="GL-500100"/>
    <s v="12%"/>
    <s v="APPROVED"/>
    <s v="INV-6013"/>
    <s v="System Auto-Generated"/>
    <m/>
  </r>
  <r>
    <s v="PO-2024-3248"/>
    <x v="478"/>
    <x v="0"/>
    <s v="Office Rent"/>
    <s v="GlobalMedia Ads"/>
    <n v="225027.46"/>
    <s v="GL-600300"/>
    <s v="12%"/>
    <s v="APPROVED"/>
    <s v="INV-6486"/>
    <s v="System Auto-Generated"/>
    <m/>
  </r>
  <r>
    <s v="PO-2024-3249"/>
    <x v="81"/>
    <x v="0"/>
    <s v="Hardware Procurement"/>
    <s v="GlobalMedia Ads"/>
    <n v="230032.45"/>
    <s v="GL-500200"/>
    <s v="12%"/>
    <s v="APPROVED"/>
    <s v="INV-5366"/>
    <s v="System Auto-Generated"/>
    <m/>
  </r>
  <r>
    <m/>
    <x v="479"/>
    <x v="5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3433D-77DC-42CE-B1E8-F4453B3783C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1" firstHeaderRow="1" firstDataRow="1" firstDataCol="1"/>
  <pivotFields count="15">
    <pivotField showAll="0"/>
    <pivotField showAll="0">
      <items count="481">
        <item x="12"/>
        <item x="343"/>
        <item x="344"/>
        <item x="36"/>
        <item x="217"/>
        <item x="324"/>
        <item x="402"/>
        <item x="59"/>
        <item x="14"/>
        <item x="131"/>
        <item x="311"/>
        <item x="448"/>
        <item x="319"/>
        <item x="403"/>
        <item x="430"/>
        <item x="207"/>
        <item x="247"/>
        <item x="5"/>
        <item x="282"/>
        <item x="388"/>
        <item x="92"/>
        <item x="143"/>
        <item x="137"/>
        <item x="205"/>
        <item x="363"/>
        <item x="232"/>
        <item x="242"/>
        <item x="429"/>
        <item x="286"/>
        <item x="231"/>
        <item x="129"/>
        <item x="172"/>
        <item x="107"/>
        <item x="469"/>
        <item x="187"/>
        <item x="433"/>
        <item x="8"/>
        <item x="115"/>
        <item x="468"/>
        <item x="435"/>
        <item x="477"/>
        <item x="83"/>
        <item x="186"/>
        <item x="220"/>
        <item x="394"/>
        <item x="196"/>
        <item x="381"/>
        <item x="315"/>
        <item x="191"/>
        <item x="325"/>
        <item x="346"/>
        <item x="150"/>
        <item x="320"/>
        <item x="41"/>
        <item x="322"/>
        <item x="476"/>
        <item x="248"/>
        <item x="4"/>
        <item x="349"/>
        <item x="32"/>
        <item x="262"/>
        <item x="409"/>
        <item x="219"/>
        <item x="401"/>
        <item x="318"/>
        <item x="23"/>
        <item x="67"/>
        <item x="471"/>
        <item x="255"/>
        <item x="334"/>
        <item x="421"/>
        <item x="152"/>
        <item x="288"/>
        <item x="460"/>
        <item x="110"/>
        <item x="198"/>
        <item x="179"/>
        <item x="387"/>
        <item x="6"/>
        <item x="50"/>
        <item x="340"/>
        <item x="88"/>
        <item x="43"/>
        <item x="133"/>
        <item x="116"/>
        <item x="126"/>
        <item x="376"/>
        <item x="253"/>
        <item x="51"/>
        <item x="212"/>
        <item x="335"/>
        <item x="398"/>
        <item x="119"/>
        <item x="234"/>
        <item x="206"/>
        <item x="251"/>
        <item x="337"/>
        <item x="130"/>
        <item x="201"/>
        <item x="307"/>
        <item x="30"/>
        <item x="87"/>
        <item x="109"/>
        <item x="73"/>
        <item x="113"/>
        <item x="296"/>
        <item x="299"/>
        <item x="222"/>
        <item x="121"/>
        <item x="134"/>
        <item x="289"/>
        <item x="439"/>
        <item x="64"/>
        <item x="108"/>
        <item x="140"/>
        <item x="138"/>
        <item x="89"/>
        <item x="24"/>
        <item x="71"/>
        <item x="326"/>
        <item x="463"/>
        <item x="204"/>
        <item x="213"/>
        <item x="243"/>
        <item x="44"/>
        <item x="185"/>
        <item x="22"/>
        <item x="399"/>
        <item x="379"/>
        <item x="397"/>
        <item x="167"/>
        <item x="274"/>
        <item x="354"/>
        <item x="444"/>
        <item x="458"/>
        <item x="144"/>
        <item x="65"/>
        <item x="440"/>
        <item x="154"/>
        <item x="314"/>
        <item x="305"/>
        <item x="427"/>
        <item x="338"/>
        <item x="419"/>
        <item x="98"/>
        <item x="358"/>
        <item x="80"/>
        <item x="411"/>
        <item x="72"/>
        <item x="75"/>
        <item x="35"/>
        <item x="451"/>
        <item x="330"/>
        <item x="432"/>
        <item x="461"/>
        <item x="254"/>
        <item x="478"/>
        <item x="259"/>
        <item x="395"/>
        <item x="303"/>
        <item x="166"/>
        <item x="452"/>
        <item x="18"/>
        <item x="181"/>
        <item x="190"/>
        <item x="347"/>
        <item x="426"/>
        <item x="17"/>
        <item x="323"/>
        <item x="70"/>
        <item x="351"/>
        <item x="466"/>
        <item x="52"/>
        <item x="283"/>
        <item x="208"/>
        <item x="422"/>
        <item x="280"/>
        <item x="95"/>
        <item x="465"/>
        <item x="295"/>
        <item x="364"/>
        <item x="97"/>
        <item x="352"/>
        <item x="230"/>
        <item x="329"/>
        <item x="195"/>
        <item x="39"/>
        <item x="272"/>
        <item x="294"/>
        <item x="157"/>
        <item x="418"/>
        <item x="284"/>
        <item x="176"/>
        <item x="410"/>
        <item x="264"/>
        <item x="241"/>
        <item x="194"/>
        <item x="215"/>
        <item x="128"/>
        <item x="378"/>
        <item x="244"/>
        <item x="229"/>
        <item x="287"/>
        <item x="188"/>
        <item x="180"/>
        <item x="360"/>
        <item x="312"/>
        <item x="34"/>
        <item x="26"/>
        <item x="313"/>
        <item x="416"/>
        <item x="412"/>
        <item x="266"/>
        <item x="396"/>
        <item x="127"/>
        <item x="68"/>
        <item x="132"/>
        <item x="420"/>
        <item x="475"/>
        <item x="135"/>
        <item x="428"/>
        <item x="79"/>
        <item x="9"/>
        <item x="437"/>
        <item x="392"/>
        <item x="20"/>
        <item x="449"/>
        <item x="455"/>
        <item x="168"/>
        <item x="175"/>
        <item x="233"/>
        <item x="445"/>
        <item x="226"/>
        <item x="310"/>
        <item x="29"/>
        <item x="380"/>
        <item x="7"/>
        <item x="94"/>
        <item x="210"/>
        <item x="442"/>
        <item x="136"/>
        <item x="302"/>
        <item x="348"/>
        <item x="336"/>
        <item x="81"/>
        <item x="258"/>
        <item x="240"/>
        <item x="163"/>
        <item x="146"/>
        <item x="159"/>
        <item x="281"/>
        <item x="227"/>
        <item x="275"/>
        <item x="49"/>
        <item x="332"/>
        <item x="298"/>
        <item x="260"/>
        <item x="60"/>
        <item x="423"/>
        <item x="55"/>
        <item x="382"/>
        <item x="38"/>
        <item x="375"/>
        <item x="223"/>
        <item x="239"/>
        <item x="156"/>
        <item x="37"/>
        <item x="141"/>
        <item x="359"/>
        <item x="321"/>
        <item x="252"/>
        <item x="383"/>
        <item x="309"/>
        <item x="164"/>
        <item x="54"/>
        <item x="256"/>
        <item x="368"/>
        <item x="356"/>
        <item x="139"/>
        <item x="61"/>
        <item x="278"/>
        <item x="62"/>
        <item x="56"/>
        <item x="104"/>
        <item x="291"/>
        <item x="257"/>
        <item x="153"/>
        <item x="350"/>
        <item x="155"/>
        <item x="270"/>
        <item x="15"/>
        <item x="124"/>
        <item x="90"/>
        <item x="149"/>
        <item x="225"/>
        <item x="443"/>
        <item x="454"/>
        <item x="47"/>
        <item x="192"/>
        <item x="328"/>
        <item x="236"/>
        <item x="316"/>
        <item x="391"/>
        <item x="447"/>
        <item x="69"/>
        <item x="103"/>
        <item x="265"/>
        <item x="386"/>
        <item x="357"/>
        <item x="102"/>
        <item x="174"/>
        <item x="237"/>
        <item x="53"/>
        <item x="385"/>
        <item x="434"/>
        <item x="203"/>
        <item x="269"/>
        <item x="13"/>
        <item x="162"/>
        <item x="261"/>
        <item x="78"/>
        <item x="362"/>
        <item x="96"/>
        <item x="453"/>
        <item x="271"/>
        <item x="218"/>
        <item x="158"/>
        <item x="99"/>
        <item x="76"/>
        <item x="304"/>
        <item x="199"/>
        <item x="82"/>
        <item x="369"/>
        <item x="48"/>
        <item x="216"/>
        <item x="400"/>
        <item x="177"/>
        <item x="114"/>
        <item x="285"/>
        <item x="10"/>
        <item x="91"/>
        <item x="361"/>
        <item x="161"/>
        <item x="462"/>
        <item x="373"/>
        <item x="27"/>
        <item x="160"/>
        <item x="16"/>
        <item x="273"/>
        <item x="145"/>
        <item x="459"/>
        <item x="331"/>
        <item x="297"/>
        <item x="292"/>
        <item x="415"/>
        <item x="33"/>
        <item x="408"/>
        <item x="85"/>
        <item x="317"/>
        <item x="197"/>
        <item x="40"/>
        <item x="366"/>
        <item x="404"/>
        <item x="58"/>
        <item x="221"/>
        <item x="456"/>
        <item x="63"/>
        <item x="263"/>
        <item x="467"/>
        <item x="77"/>
        <item x="19"/>
        <item x="377"/>
        <item x="125"/>
        <item x="11"/>
        <item x="105"/>
        <item x="345"/>
        <item x="224"/>
        <item x="353"/>
        <item x="235"/>
        <item x="414"/>
        <item x="384"/>
        <item x="202"/>
        <item x="393"/>
        <item x="342"/>
        <item x="431"/>
        <item x="42"/>
        <item x="438"/>
        <item x="169"/>
        <item x="339"/>
        <item x="333"/>
        <item x="413"/>
        <item x="46"/>
        <item x="389"/>
        <item x="86"/>
        <item x="407"/>
        <item x="193"/>
        <item x="306"/>
        <item x="293"/>
        <item x="122"/>
        <item x="183"/>
        <item x="21"/>
        <item x="45"/>
        <item x="249"/>
        <item x="209"/>
        <item x="301"/>
        <item x="178"/>
        <item x="470"/>
        <item x="372"/>
        <item x="374"/>
        <item x="365"/>
        <item x="101"/>
        <item x="238"/>
        <item x="182"/>
        <item x="245"/>
        <item x="184"/>
        <item x="112"/>
        <item x="367"/>
        <item x="405"/>
        <item x="250"/>
        <item x="308"/>
        <item x="436"/>
        <item x="472"/>
        <item x="117"/>
        <item x="173"/>
        <item x="74"/>
        <item x="189"/>
        <item x="371"/>
        <item x="106"/>
        <item x="279"/>
        <item x="474"/>
        <item x="370"/>
        <item x="228"/>
        <item x="211"/>
        <item x="267"/>
        <item x="1"/>
        <item x="171"/>
        <item x="31"/>
        <item x="123"/>
        <item x="473"/>
        <item x="147"/>
        <item x="57"/>
        <item x="355"/>
        <item x="441"/>
        <item x="0"/>
        <item x="327"/>
        <item x="464"/>
        <item x="446"/>
        <item x="457"/>
        <item x="118"/>
        <item x="93"/>
        <item x="3"/>
        <item x="151"/>
        <item x="2"/>
        <item x="111"/>
        <item x="120"/>
        <item x="142"/>
        <item x="84"/>
        <item x="100"/>
        <item x="276"/>
        <item x="341"/>
        <item x="390"/>
        <item x="406"/>
        <item x="450"/>
        <item x="246"/>
        <item x="200"/>
        <item x="148"/>
        <item x="25"/>
        <item x="28"/>
        <item x="300"/>
        <item x="277"/>
        <item x="268"/>
        <item x="214"/>
        <item x="424"/>
        <item x="165"/>
        <item x="290"/>
        <item x="66"/>
        <item x="417"/>
        <item x="425"/>
        <item x="170"/>
        <item x="479"/>
        <item t="default"/>
      </items>
    </pivotField>
    <pivotField axis="axisRow" showAll="0">
      <items count="7">
        <item x="0"/>
        <item x="4"/>
        <item x="1"/>
        <item x="2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4"/>
    <field x="2"/>
  </rowFields>
  <rowItems count="20">
    <i>
      <x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RAW_AMOUNT" fld="5" baseField="0" baseItem="0"/>
  </dataFields>
  <formats count="7">
    <format dxfId="6">
      <pivotArea collapsedLevelsAreSubtotals="1" fieldPosition="0">
        <references count="1">
          <reference field="14" count="1">
            <x v="1"/>
          </reference>
        </references>
      </pivotArea>
    </format>
    <format dxfId="5">
      <pivotArea collapsedLevelsAreSubtotals="1" fieldPosition="0">
        <references count="2">
          <reference field="2" count="5">
            <x v="0"/>
            <x v="1"/>
            <x v="2"/>
            <x v="3"/>
            <x v="4"/>
          </reference>
          <reference field="14" count="1" selected="0">
            <x v="1"/>
          </reference>
        </references>
      </pivotArea>
    </format>
    <format dxfId="4">
      <pivotArea collapsedLevelsAreSubtotals="1" fieldPosition="0">
        <references count="1">
          <reference field="14" count="1">
            <x v="2"/>
          </reference>
        </references>
      </pivotArea>
    </format>
    <format dxfId="3">
      <pivotArea collapsedLevelsAreSubtotals="1" fieldPosition="0">
        <references count="2">
          <reference field="2" count="5">
            <x v="0"/>
            <x v="1"/>
            <x v="2"/>
            <x v="3"/>
            <x v="4"/>
          </reference>
          <reference field="14" count="1" selected="0">
            <x v="2"/>
          </reference>
        </references>
      </pivotArea>
    </format>
    <format dxfId="2">
      <pivotArea collapsedLevelsAreSubtotals="1" fieldPosition="0">
        <references count="1">
          <reference field="14" count="1">
            <x v="3"/>
          </reference>
        </references>
      </pivotArea>
    </format>
    <format dxfId="1">
      <pivotArea collapsedLevelsAreSubtotals="1" fieldPosition="0">
        <references count="2">
          <reference field="2" count="5">
            <x v="0"/>
            <x v="1"/>
            <x v="2"/>
            <x v="3"/>
            <x v="4"/>
          </reference>
          <reference field="14" count="1" selected="0">
            <x v="3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4"/>
  <sheetViews>
    <sheetView workbookViewId="0">
      <selection activeCell="F2" sqref="F2:F22"/>
    </sheetView>
  </sheetViews>
  <sheetFormatPr defaultRowHeight="15" x14ac:dyDescent="0.25"/>
  <cols>
    <col min="1" max="1" width="18.28515625" bestFit="1" customWidth="1"/>
    <col min="2" max="2" width="19.5703125" bestFit="1" customWidth="1"/>
    <col min="3" max="3" width="20" bestFit="1" customWidth="1"/>
    <col min="4" max="4" width="22" bestFit="1" customWidth="1"/>
    <col min="5" max="5" width="21.5703125" bestFit="1" customWidth="1"/>
    <col min="6" max="6" width="15" bestFit="1" customWidth="1"/>
    <col min="7" max="8" width="9.85546875" bestFit="1" customWidth="1"/>
    <col min="9" max="9" width="18.5703125" bestFit="1" customWidth="1"/>
    <col min="10" max="10" width="12.5703125" bestFit="1" customWidth="1"/>
    <col min="11" max="11" width="33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>
        <v>45932</v>
      </c>
      <c r="C2" t="s">
        <v>12</v>
      </c>
      <c r="D2" t="s">
        <v>13</v>
      </c>
      <c r="E2" t="s">
        <v>14</v>
      </c>
      <c r="F2">
        <v>115160.76</v>
      </c>
      <c r="G2" t="s">
        <v>15</v>
      </c>
      <c r="H2" t="s">
        <v>16</v>
      </c>
      <c r="I2" t="s">
        <v>17</v>
      </c>
      <c r="K2" t="s">
        <v>18</v>
      </c>
    </row>
    <row r="3" spans="1:11" x14ac:dyDescent="0.25">
      <c r="A3" t="s">
        <v>19</v>
      </c>
      <c r="B3" s="2">
        <v>45908</v>
      </c>
      <c r="C3" t="s">
        <v>20</v>
      </c>
      <c r="D3" t="s">
        <v>21</v>
      </c>
      <c r="E3" t="s">
        <v>22</v>
      </c>
      <c r="F3">
        <v>186051.69</v>
      </c>
      <c r="G3" t="s">
        <v>15</v>
      </c>
      <c r="H3" t="s">
        <v>16</v>
      </c>
      <c r="I3" t="s">
        <v>17</v>
      </c>
      <c r="J3" t="s">
        <v>23</v>
      </c>
      <c r="K3" t="s">
        <v>18</v>
      </c>
    </row>
    <row r="4" spans="1:11" x14ac:dyDescent="0.25">
      <c r="A4" t="s">
        <v>24</v>
      </c>
      <c r="B4" s="2">
        <v>45954</v>
      </c>
      <c r="C4" t="s">
        <v>25</v>
      </c>
      <c r="D4" t="s">
        <v>26</v>
      </c>
      <c r="E4" t="s">
        <v>27</v>
      </c>
      <c r="F4">
        <v>113149.23</v>
      </c>
      <c r="G4" t="s">
        <v>28</v>
      </c>
      <c r="H4" t="s">
        <v>16</v>
      </c>
      <c r="I4" t="s">
        <v>17</v>
      </c>
      <c r="J4" t="s">
        <v>29</v>
      </c>
      <c r="K4" t="s">
        <v>30</v>
      </c>
    </row>
    <row r="5" spans="1:11" x14ac:dyDescent="0.25">
      <c r="A5" t="s">
        <v>31</v>
      </c>
      <c r="B5" s="2">
        <v>45946</v>
      </c>
      <c r="C5" t="s">
        <v>12</v>
      </c>
      <c r="D5" t="s">
        <v>21</v>
      </c>
      <c r="E5" t="s">
        <v>14</v>
      </c>
      <c r="F5">
        <v>206325.42</v>
      </c>
      <c r="G5" t="s">
        <v>15</v>
      </c>
      <c r="H5" t="s">
        <v>16</v>
      </c>
      <c r="I5" t="s">
        <v>17</v>
      </c>
      <c r="J5" t="s">
        <v>32</v>
      </c>
      <c r="K5" t="s">
        <v>18</v>
      </c>
    </row>
    <row r="6" spans="1:11" x14ac:dyDescent="0.25">
      <c r="A6" t="s">
        <v>33</v>
      </c>
      <c r="B6" s="2">
        <v>45069</v>
      </c>
      <c r="C6" t="s">
        <v>20</v>
      </c>
      <c r="D6" t="s">
        <v>26</v>
      </c>
      <c r="E6" t="s">
        <v>22</v>
      </c>
      <c r="F6">
        <v>57783.360000000001</v>
      </c>
      <c r="G6" t="s">
        <v>15</v>
      </c>
      <c r="H6" t="s">
        <v>34</v>
      </c>
      <c r="I6" t="s">
        <v>17</v>
      </c>
      <c r="J6" t="s">
        <v>35</v>
      </c>
      <c r="K6" t="s">
        <v>18</v>
      </c>
    </row>
    <row r="7" spans="1:11" x14ac:dyDescent="0.25">
      <c r="A7" t="s">
        <v>36</v>
      </c>
      <c r="B7" s="2">
        <v>44968</v>
      </c>
      <c r="C7" t="s">
        <v>25</v>
      </c>
      <c r="D7" t="s">
        <v>37</v>
      </c>
      <c r="E7" t="s">
        <v>14</v>
      </c>
      <c r="F7">
        <v>51244.28</v>
      </c>
      <c r="G7" t="s">
        <v>38</v>
      </c>
      <c r="H7" t="s">
        <v>16</v>
      </c>
      <c r="I7" t="s">
        <v>17</v>
      </c>
      <c r="J7" t="s">
        <v>39</v>
      </c>
      <c r="K7" t="s">
        <v>30</v>
      </c>
    </row>
    <row r="8" spans="1:11" x14ac:dyDescent="0.25">
      <c r="A8" t="s">
        <v>40</v>
      </c>
      <c r="B8" s="2">
        <v>45117</v>
      </c>
      <c r="C8" t="s">
        <v>12</v>
      </c>
      <c r="D8" t="s">
        <v>37</v>
      </c>
      <c r="E8" t="s">
        <v>41</v>
      </c>
      <c r="F8">
        <v>92128.53</v>
      </c>
      <c r="G8" t="s">
        <v>38</v>
      </c>
      <c r="H8" t="s">
        <v>16</v>
      </c>
      <c r="I8" t="s">
        <v>17</v>
      </c>
      <c r="J8" t="s">
        <v>42</v>
      </c>
      <c r="K8" t="s">
        <v>18</v>
      </c>
    </row>
    <row r="9" spans="1:11" x14ac:dyDescent="0.25">
      <c r="A9" t="s">
        <v>43</v>
      </c>
      <c r="B9" s="2">
        <v>45467</v>
      </c>
      <c r="C9" t="s">
        <v>20</v>
      </c>
      <c r="D9" t="s">
        <v>26</v>
      </c>
      <c r="E9" t="s">
        <v>44</v>
      </c>
      <c r="F9">
        <v>36320.019999999997</v>
      </c>
      <c r="G9" t="s">
        <v>15</v>
      </c>
      <c r="H9" t="s">
        <v>16</v>
      </c>
      <c r="I9" t="s">
        <v>17</v>
      </c>
      <c r="K9" t="s">
        <v>18</v>
      </c>
    </row>
    <row r="10" spans="1:11" x14ac:dyDescent="0.25">
      <c r="A10" t="s">
        <v>45</v>
      </c>
      <c r="B10" s="2">
        <v>45004</v>
      </c>
      <c r="C10" t="s">
        <v>12</v>
      </c>
      <c r="D10" t="s">
        <v>46</v>
      </c>
      <c r="E10" t="s">
        <v>14</v>
      </c>
      <c r="F10">
        <v>50577.43</v>
      </c>
      <c r="G10" t="s">
        <v>28</v>
      </c>
      <c r="H10" t="s">
        <v>16</v>
      </c>
      <c r="I10" t="s">
        <v>17</v>
      </c>
      <c r="J10" t="s">
        <v>47</v>
      </c>
      <c r="K10" t="s">
        <v>18</v>
      </c>
    </row>
    <row r="11" spans="1:11" x14ac:dyDescent="0.25">
      <c r="A11" t="s">
        <v>48</v>
      </c>
      <c r="B11" s="2">
        <v>45442</v>
      </c>
      <c r="C11" t="s">
        <v>12</v>
      </c>
      <c r="D11" t="s">
        <v>46</v>
      </c>
      <c r="E11" t="s">
        <v>41</v>
      </c>
      <c r="F11">
        <v>17764.09</v>
      </c>
      <c r="G11" t="s">
        <v>38</v>
      </c>
      <c r="H11" t="s">
        <v>16</v>
      </c>
      <c r="I11" t="s">
        <v>17</v>
      </c>
      <c r="J11" t="s">
        <v>49</v>
      </c>
      <c r="K11" t="s">
        <v>18</v>
      </c>
    </row>
    <row r="12" spans="1:11" x14ac:dyDescent="0.25">
      <c r="A12" t="s">
        <v>50</v>
      </c>
      <c r="B12" s="2">
        <v>45699</v>
      </c>
      <c r="C12" t="s">
        <v>25</v>
      </c>
      <c r="D12" t="s">
        <v>13</v>
      </c>
      <c r="E12" t="s">
        <v>27</v>
      </c>
      <c r="F12">
        <v>170659.31</v>
      </c>
      <c r="G12" t="s">
        <v>15</v>
      </c>
      <c r="H12" t="s">
        <v>16</v>
      </c>
      <c r="I12" t="s">
        <v>17</v>
      </c>
      <c r="J12" t="s">
        <v>51</v>
      </c>
      <c r="K12" t="s">
        <v>18</v>
      </c>
    </row>
    <row r="13" spans="1:11" x14ac:dyDescent="0.25">
      <c r="A13" t="s">
        <v>52</v>
      </c>
      <c r="B13" s="2">
        <v>45767</v>
      </c>
      <c r="C13" t="s">
        <v>25</v>
      </c>
      <c r="D13" t="s">
        <v>26</v>
      </c>
      <c r="E13" t="s">
        <v>53</v>
      </c>
      <c r="F13">
        <v>242782.85</v>
      </c>
      <c r="G13" t="s">
        <v>38</v>
      </c>
      <c r="H13" t="s">
        <v>16</v>
      </c>
      <c r="I13" t="s">
        <v>17</v>
      </c>
      <c r="K13" t="s">
        <v>18</v>
      </c>
    </row>
    <row r="14" spans="1:11" x14ac:dyDescent="0.25">
      <c r="A14" t="s">
        <v>54</v>
      </c>
      <c r="B14" s="2">
        <v>44931</v>
      </c>
      <c r="C14" t="s">
        <v>12</v>
      </c>
      <c r="D14" t="s">
        <v>46</v>
      </c>
      <c r="E14" t="s">
        <v>22</v>
      </c>
      <c r="F14">
        <v>83487.25</v>
      </c>
      <c r="G14" t="s">
        <v>15</v>
      </c>
      <c r="H14" t="s">
        <v>16</v>
      </c>
      <c r="I14" t="s">
        <v>17</v>
      </c>
      <c r="J14" t="s">
        <v>55</v>
      </c>
      <c r="K14" t="s">
        <v>30</v>
      </c>
    </row>
    <row r="15" spans="1:11" x14ac:dyDescent="0.25">
      <c r="A15" t="s">
        <v>56</v>
      </c>
      <c r="B15" s="2">
        <v>45640</v>
      </c>
      <c r="C15" t="s">
        <v>12</v>
      </c>
      <c r="D15" t="s">
        <v>13</v>
      </c>
      <c r="E15" t="s">
        <v>41</v>
      </c>
      <c r="F15">
        <v>134858</v>
      </c>
      <c r="G15" t="s">
        <v>38</v>
      </c>
      <c r="H15" t="s">
        <v>16</v>
      </c>
      <c r="I15" t="s">
        <v>17</v>
      </c>
      <c r="J15" t="s">
        <v>57</v>
      </c>
      <c r="K15" t="s">
        <v>18</v>
      </c>
    </row>
    <row r="16" spans="1:11" x14ac:dyDescent="0.25">
      <c r="A16" t="s">
        <v>58</v>
      </c>
      <c r="B16" s="2">
        <v>44950</v>
      </c>
      <c r="C16" t="s">
        <v>59</v>
      </c>
      <c r="D16" t="s">
        <v>60</v>
      </c>
      <c r="E16" t="s">
        <v>41</v>
      </c>
      <c r="F16">
        <v>214019.64</v>
      </c>
      <c r="G16" t="s">
        <v>28</v>
      </c>
      <c r="H16" t="s">
        <v>16</v>
      </c>
      <c r="I16" t="s">
        <v>17</v>
      </c>
      <c r="K16" t="s">
        <v>18</v>
      </c>
    </row>
    <row r="17" spans="1:11" x14ac:dyDescent="0.25">
      <c r="A17" t="s">
        <v>61</v>
      </c>
      <c r="B17" s="2">
        <v>45592</v>
      </c>
      <c r="C17" t="s">
        <v>12</v>
      </c>
      <c r="D17" t="s">
        <v>46</v>
      </c>
      <c r="E17" t="s">
        <v>41</v>
      </c>
      <c r="F17">
        <v>88319.3</v>
      </c>
      <c r="G17" t="s">
        <v>15</v>
      </c>
      <c r="H17" t="s">
        <v>16</v>
      </c>
      <c r="I17" t="s">
        <v>17</v>
      </c>
      <c r="J17" t="s">
        <v>62</v>
      </c>
      <c r="K17" t="s">
        <v>18</v>
      </c>
    </row>
    <row r="18" spans="1:11" x14ac:dyDescent="0.25">
      <c r="A18" t="s">
        <v>63</v>
      </c>
      <c r="B18" s="2">
        <v>45711</v>
      </c>
      <c r="C18" t="s">
        <v>25</v>
      </c>
      <c r="D18" t="s">
        <v>64</v>
      </c>
      <c r="E18" t="s">
        <v>14</v>
      </c>
      <c r="F18">
        <v>250076.66</v>
      </c>
      <c r="G18" t="s">
        <v>15</v>
      </c>
      <c r="H18" t="s">
        <v>16</v>
      </c>
      <c r="I18" t="s">
        <v>17</v>
      </c>
      <c r="J18" t="s">
        <v>65</v>
      </c>
      <c r="K18" t="s">
        <v>18</v>
      </c>
    </row>
    <row r="19" spans="1:11" x14ac:dyDescent="0.25">
      <c r="A19" t="s">
        <v>66</v>
      </c>
      <c r="B19" s="2">
        <v>45314</v>
      </c>
      <c r="C19" t="s">
        <v>25</v>
      </c>
      <c r="D19" t="s">
        <v>21</v>
      </c>
      <c r="E19" t="s">
        <v>14</v>
      </c>
      <c r="F19">
        <v>168739.9</v>
      </c>
      <c r="G19" t="s">
        <v>15</v>
      </c>
      <c r="H19" t="s">
        <v>16</v>
      </c>
      <c r="I19" t="s">
        <v>17</v>
      </c>
      <c r="J19" t="s">
        <v>67</v>
      </c>
      <c r="K19" t="s">
        <v>18</v>
      </c>
    </row>
    <row r="20" spans="1:11" x14ac:dyDescent="0.25">
      <c r="A20" t="s">
        <v>68</v>
      </c>
      <c r="B20" s="2">
        <v>45307</v>
      </c>
      <c r="C20" t="s">
        <v>25</v>
      </c>
      <c r="D20" t="s">
        <v>60</v>
      </c>
      <c r="E20" t="s">
        <v>27</v>
      </c>
      <c r="F20">
        <v>153905</v>
      </c>
      <c r="G20" t="s">
        <v>28</v>
      </c>
      <c r="H20" t="s">
        <v>16</v>
      </c>
      <c r="I20" t="s">
        <v>17</v>
      </c>
      <c r="J20" t="s">
        <v>69</v>
      </c>
      <c r="K20" t="s">
        <v>18</v>
      </c>
    </row>
    <row r="21" spans="1:11" x14ac:dyDescent="0.25">
      <c r="A21" t="s">
        <v>70</v>
      </c>
      <c r="B21" s="2">
        <v>45760</v>
      </c>
      <c r="C21" t="s">
        <v>25</v>
      </c>
      <c r="D21" t="s">
        <v>46</v>
      </c>
      <c r="E21" t="s">
        <v>44</v>
      </c>
      <c r="F21">
        <v>183744.55</v>
      </c>
      <c r="G21" t="s">
        <v>15</v>
      </c>
      <c r="H21" t="s">
        <v>16</v>
      </c>
      <c r="I21" t="s">
        <v>17</v>
      </c>
      <c r="J21" t="s">
        <v>71</v>
      </c>
      <c r="K21" t="s">
        <v>30</v>
      </c>
    </row>
    <row r="22" spans="1:11" x14ac:dyDescent="0.25">
      <c r="A22" t="s">
        <v>72</v>
      </c>
      <c r="B22" s="2">
        <v>45453</v>
      </c>
      <c r="C22" t="s">
        <v>73</v>
      </c>
      <c r="D22" t="s">
        <v>13</v>
      </c>
      <c r="E22" t="s">
        <v>22</v>
      </c>
      <c r="F22">
        <v>42533.69</v>
      </c>
      <c r="G22" t="s">
        <v>15</v>
      </c>
      <c r="H22" t="s">
        <v>16</v>
      </c>
      <c r="I22" t="s">
        <v>17</v>
      </c>
      <c r="J22" t="s">
        <v>74</v>
      </c>
      <c r="K22" t="s">
        <v>18</v>
      </c>
    </row>
    <row r="23" spans="1:11" x14ac:dyDescent="0.25">
      <c r="A23" t="s">
        <v>75</v>
      </c>
      <c r="B23" s="2">
        <v>45829</v>
      </c>
      <c r="C23" t="s">
        <v>20</v>
      </c>
      <c r="D23" t="s">
        <v>21</v>
      </c>
      <c r="E23" t="s">
        <v>27</v>
      </c>
      <c r="F23">
        <v>34540.36</v>
      </c>
      <c r="G23" t="s">
        <v>15</v>
      </c>
      <c r="H23" t="s">
        <v>16</v>
      </c>
      <c r="I23" t="s">
        <v>17</v>
      </c>
      <c r="J23" t="s">
        <v>76</v>
      </c>
      <c r="K23" t="s">
        <v>18</v>
      </c>
    </row>
    <row r="24" spans="1:11" x14ac:dyDescent="0.25">
      <c r="A24" t="s">
        <v>77</v>
      </c>
      <c r="B24" s="2">
        <v>45221</v>
      </c>
      <c r="C24" t="s">
        <v>20</v>
      </c>
      <c r="D24" t="s">
        <v>60</v>
      </c>
      <c r="E24" t="s">
        <v>41</v>
      </c>
      <c r="F24">
        <v>128124.55</v>
      </c>
      <c r="G24" t="s">
        <v>38</v>
      </c>
      <c r="H24" t="s">
        <v>16</v>
      </c>
      <c r="I24" t="s">
        <v>17</v>
      </c>
      <c r="J24" t="s">
        <v>78</v>
      </c>
      <c r="K24" t="s">
        <v>18</v>
      </c>
    </row>
    <row r="25" spans="1:11" x14ac:dyDescent="0.25">
      <c r="A25" t="s">
        <v>79</v>
      </c>
      <c r="B25" s="2">
        <v>45088</v>
      </c>
      <c r="C25" t="s">
        <v>12</v>
      </c>
      <c r="D25" t="s">
        <v>26</v>
      </c>
      <c r="E25" t="s">
        <v>41</v>
      </c>
      <c r="F25">
        <v>121957.05</v>
      </c>
      <c r="G25" t="s">
        <v>38</v>
      </c>
      <c r="H25" t="s">
        <v>16</v>
      </c>
      <c r="I25" t="s">
        <v>17</v>
      </c>
      <c r="J25" t="s">
        <v>80</v>
      </c>
      <c r="K25" t="s">
        <v>18</v>
      </c>
    </row>
    <row r="26" spans="1:11" x14ac:dyDescent="0.25">
      <c r="A26" t="s">
        <v>81</v>
      </c>
      <c r="B26" s="2">
        <v>45202</v>
      </c>
      <c r="C26" t="s">
        <v>20</v>
      </c>
      <c r="D26" t="s">
        <v>64</v>
      </c>
      <c r="E26" t="s">
        <v>27</v>
      </c>
      <c r="F26">
        <v>29801.85</v>
      </c>
      <c r="G26" t="s">
        <v>38</v>
      </c>
      <c r="H26" t="s">
        <v>16</v>
      </c>
      <c r="I26" t="s">
        <v>17</v>
      </c>
      <c r="J26" t="s">
        <v>82</v>
      </c>
      <c r="K26" t="s">
        <v>18</v>
      </c>
    </row>
    <row r="27" spans="1:11" x14ac:dyDescent="0.25">
      <c r="A27" t="s">
        <v>83</v>
      </c>
      <c r="B27" s="2">
        <v>45993</v>
      </c>
      <c r="C27" t="s">
        <v>20</v>
      </c>
      <c r="D27" t="s">
        <v>37</v>
      </c>
      <c r="E27" t="s">
        <v>41</v>
      </c>
      <c r="F27">
        <v>311092.01</v>
      </c>
      <c r="G27" t="s">
        <v>28</v>
      </c>
      <c r="H27" t="s">
        <v>16</v>
      </c>
      <c r="I27" t="s">
        <v>17</v>
      </c>
      <c r="J27" t="s">
        <v>84</v>
      </c>
      <c r="K27" t="s">
        <v>18</v>
      </c>
    </row>
    <row r="28" spans="1:11" x14ac:dyDescent="0.25">
      <c r="A28" t="s">
        <v>85</v>
      </c>
      <c r="B28" s="2">
        <v>45415</v>
      </c>
      <c r="C28" t="s">
        <v>20</v>
      </c>
      <c r="D28" t="s">
        <v>13</v>
      </c>
      <c r="E28" t="s">
        <v>41</v>
      </c>
      <c r="F28">
        <v>127541.66</v>
      </c>
      <c r="G28" t="s">
        <v>28</v>
      </c>
      <c r="H28" t="s">
        <v>16</v>
      </c>
      <c r="I28" t="s">
        <v>17</v>
      </c>
      <c r="J28" t="s">
        <v>86</v>
      </c>
      <c r="K28" t="s">
        <v>18</v>
      </c>
    </row>
    <row r="29" spans="1:11" x14ac:dyDescent="0.25">
      <c r="A29" t="s">
        <v>87</v>
      </c>
      <c r="B29" s="2">
        <v>45708</v>
      </c>
      <c r="C29" t="s">
        <v>12</v>
      </c>
      <c r="D29" t="s">
        <v>21</v>
      </c>
      <c r="E29" t="s">
        <v>22</v>
      </c>
      <c r="F29">
        <v>129658.16</v>
      </c>
      <c r="G29" t="s">
        <v>15</v>
      </c>
      <c r="H29" t="s">
        <v>16</v>
      </c>
      <c r="I29" t="s">
        <v>17</v>
      </c>
      <c r="J29" t="s">
        <v>88</v>
      </c>
      <c r="K29" t="s">
        <v>18</v>
      </c>
    </row>
    <row r="30" spans="1:11" x14ac:dyDescent="0.25">
      <c r="A30" t="s">
        <v>89</v>
      </c>
      <c r="B30" s="2">
        <v>45994</v>
      </c>
      <c r="C30" t="s">
        <v>73</v>
      </c>
      <c r="D30" t="s">
        <v>46</v>
      </c>
      <c r="E30" t="s">
        <v>27</v>
      </c>
      <c r="F30">
        <v>298392.90999999997</v>
      </c>
      <c r="G30" t="s">
        <v>38</v>
      </c>
      <c r="H30" t="s">
        <v>34</v>
      </c>
      <c r="I30" t="s">
        <v>17</v>
      </c>
      <c r="J30" t="s">
        <v>90</v>
      </c>
      <c r="K30" t="s">
        <v>18</v>
      </c>
    </row>
    <row r="31" spans="1:11" x14ac:dyDescent="0.25">
      <c r="A31" t="s">
        <v>91</v>
      </c>
      <c r="B31" s="2">
        <v>45464</v>
      </c>
      <c r="C31" t="s">
        <v>12</v>
      </c>
      <c r="D31" t="s">
        <v>13</v>
      </c>
      <c r="E31" t="s">
        <v>44</v>
      </c>
      <c r="F31">
        <v>126727.01</v>
      </c>
      <c r="G31" t="s">
        <v>28</v>
      </c>
      <c r="H31" t="s">
        <v>34</v>
      </c>
      <c r="I31" t="s">
        <v>17</v>
      </c>
      <c r="K31" t="s">
        <v>18</v>
      </c>
    </row>
    <row r="32" spans="1:11" x14ac:dyDescent="0.25">
      <c r="A32" t="s">
        <v>92</v>
      </c>
      <c r="B32" s="2">
        <v>45163</v>
      </c>
      <c r="C32" t="s">
        <v>12</v>
      </c>
      <c r="D32" t="s">
        <v>21</v>
      </c>
      <c r="E32" t="s">
        <v>53</v>
      </c>
      <c r="F32">
        <v>80824.490000000005</v>
      </c>
      <c r="G32" t="s">
        <v>38</v>
      </c>
      <c r="H32" t="s">
        <v>16</v>
      </c>
      <c r="I32" t="s">
        <v>17</v>
      </c>
      <c r="J32" t="s">
        <v>93</v>
      </c>
      <c r="K32" t="s">
        <v>18</v>
      </c>
    </row>
    <row r="33" spans="1:11" x14ac:dyDescent="0.25">
      <c r="A33" t="s">
        <v>94</v>
      </c>
      <c r="B33" s="2">
        <v>45913</v>
      </c>
      <c r="C33" t="s">
        <v>20</v>
      </c>
      <c r="D33" t="s">
        <v>46</v>
      </c>
      <c r="E33" t="s">
        <v>22</v>
      </c>
      <c r="F33">
        <v>58524.65</v>
      </c>
      <c r="G33" t="s">
        <v>15</v>
      </c>
      <c r="H33" t="s">
        <v>16</v>
      </c>
      <c r="I33" t="s">
        <v>17</v>
      </c>
      <c r="J33" t="s">
        <v>95</v>
      </c>
      <c r="K33" t="s">
        <v>18</v>
      </c>
    </row>
    <row r="34" spans="1:11" x14ac:dyDescent="0.25">
      <c r="A34" t="s">
        <v>96</v>
      </c>
      <c r="B34" s="2">
        <v>45073</v>
      </c>
      <c r="C34" t="s">
        <v>25</v>
      </c>
      <c r="D34" t="s">
        <v>37</v>
      </c>
      <c r="E34" t="s">
        <v>14</v>
      </c>
      <c r="F34">
        <v>40200.79</v>
      </c>
      <c r="G34" t="s">
        <v>38</v>
      </c>
      <c r="H34" t="s">
        <v>16</v>
      </c>
      <c r="I34" t="s">
        <v>17</v>
      </c>
      <c r="K34" t="s">
        <v>18</v>
      </c>
    </row>
    <row r="35" spans="1:11" x14ac:dyDescent="0.25">
      <c r="A35" t="s">
        <v>97</v>
      </c>
      <c r="B35" s="2">
        <v>45731</v>
      </c>
      <c r="C35" t="s">
        <v>12</v>
      </c>
      <c r="D35" t="s">
        <v>64</v>
      </c>
      <c r="E35" t="s">
        <v>44</v>
      </c>
      <c r="F35">
        <v>12518.53</v>
      </c>
      <c r="G35" t="s">
        <v>28</v>
      </c>
      <c r="H35" t="s">
        <v>16</v>
      </c>
      <c r="I35" t="s">
        <v>17</v>
      </c>
      <c r="J35" t="s">
        <v>98</v>
      </c>
      <c r="K35" t="s">
        <v>18</v>
      </c>
    </row>
    <row r="36" spans="1:11" x14ac:dyDescent="0.25">
      <c r="A36" t="s">
        <v>99</v>
      </c>
      <c r="B36" s="2">
        <v>45414</v>
      </c>
      <c r="C36" t="s">
        <v>20</v>
      </c>
      <c r="D36" t="s">
        <v>26</v>
      </c>
      <c r="E36" t="s">
        <v>44</v>
      </c>
      <c r="F36">
        <v>280488.2</v>
      </c>
      <c r="G36" t="s">
        <v>38</v>
      </c>
      <c r="H36" t="s">
        <v>16</v>
      </c>
      <c r="I36" t="s">
        <v>17</v>
      </c>
      <c r="J36" t="s">
        <v>100</v>
      </c>
      <c r="K36" t="s">
        <v>18</v>
      </c>
    </row>
    <row r="37" spans="1:11" x14ac:dyDescent="0.25">
      <c r="A37" t="s">
        <v>101</v>
      </c>
      <c r="B37" s="2">
        <v>45286</v>
      </c>
      <c r="C37" t="s">
        <v>25</v>
      </c>
      <c r="D37" t="s">
        <v>26</v>
      </c>
      <c r="E37" t="s">
        <v>14</v>
      </c>
      <c r="F37">
        <v>33710.14</v>
      </c>
      <c r="G37" t="s">
        <v>38</v>
      </c>
      <c r="H37" t="s">
        <v>16</v>
      </c>
      <c r="I37" t="s">
        <v>17</v>
      </c>
      <c r="J37" t="s">
        <v>102</v>
      </c>
      <c r="K37" t="s">
        <v>18</v>
      </c>
    </row>
    <row r="38" spans="1:11" x14ac:dyDescent="0.25">
      <c r="A38" t="s">
        <v>103</v>
      </c>
      <c r="B38" s="2">
        <v>44937</v>
      </c>
      <c r="C38" t="s">
        <v>12</v>
      </c>
      <c r="D38" t="s">
        <v>21</v>
      </c>
      <c r="E38" t="s">
        <v>22</v>
      </c>
      <c r="F38">
        <v>24786.39</v>
      </c>
      <c r="G38" t="s">
        <v>28</v>
      </c>
      <c r="H38" t="s">
        <v>16</v>
      </c>
      <c r="I38" t="s">
        <v>17</v>
      </c>
      <c r="J38" t="s">
        <v>104</v>
      </c>
      <c r="K38" t="s">
        <v>18</v>
      </c>
    </row>
    <row r="39" spans="1:11" x14ac:dyDescent="0.25">
      <c r="A39" t="s">
        <v>105</v>
      </c>
      <c r="B39" s="2">
        <v>45536</v>
      </c>
      <c r="C39" t="s">
        <v>73</v>
      </c>
      <c r="D39" t="s">
        <v>26</v>
      </c>
      <c r="E39" t="s">
        <v>14</v>
      </c>
      <c r="F39">
        <v>100068</v>
      </c>
      <c r="G39" t="s">
        <v>28</v>
      </c>
      <c r="H39" t="s">
        <v>16</v>
      </c>
      <c r="I39" t="s">
        <v>17</v>
      </c>
      <c r="J39" t="s">
        <v>106</v>
      </c>
      <c r="K39" t="s">
        <v>30</v>
      </c>
    </row>
    <row r="40" spans="1:11" x14ac:dyDescent="0.25">
      <c r="A40" t="s">
        <v>107</v>
      </c>
      <c r="B40" s="2">
        <v>45530</v>
      </c>
      <c r="C40" t="s">
        <v>25</v>
      </c>
      <c r="D40" t="s">
        <v>13</v>
      </c>
      <c r="E40" t="s">
        <v>27</v>
      </c>
      <c r="F40">
        <v>56772.71</v>
      </c>
      <c r="G40" t="s">
        <v>38</v>
      </c>
      <c r="H40" t="s">
        <v>16</v>
      </c>
      <c r="I40" t="s">
        <v>17</v>
      </c>
      <c r="J40" t="s">
        <v>108</v>
      </c>
      <c r="K40" t="s">
        <v>18</v>
      </c>
    </row>
    <row r="41" spans="1:11" x14ac:dyDescent="0.25">
      <c r="A41" t="s">
        <v>109</v>
      </c>
      <c r="B41" s="2">
        <v>45367</v>
      </c>
      <c r="C41" t="s">
        <v>25</v>
      </c>
      <c r="D41" t="s">
        <v>26</v>
      </c>
      <c r="E41" t="s">
        <v>14</v>
      </c>
      <c r="F41">
        <v>96138.43</v>
      </c>
      <c r="G41" t="s">
        <v>15</v>
      </c>
      <c r="H41" t="s">
        <v>16</v>
      </c>
      <c r="I41" t="s">
        <v>17</v>
      </c>
      <c r="J41" t="s">
        <v>110</v>
      </c>
      <c r="K41" t="s">
        <v>18</v>
      </c>
    </row>
    <row r="42" spans="1:11" x14ac:dyDescent="0.25">
      <c r="A42" t="s">
        <v>111</v>
      </c>
      <c r="B42" s="2">
        <v>45741</v>
      </c>
      <c r="C42" t="s">
        <v>20</v>
      </c>
      <c r="D42" t="s">
        <v>26</v>
      </c>
      <c r="E42" t="s">
        <v>14</v>
      </c>
      <c r="F42">
        <v>114483.44</v>
      </c>
      <c r="G42" t="s">
        <v>38</v>
      </c>
      <c r="H42" t="s">
        <v>16</v>
      </c>
      <c r="I42" t="s">
        <v>17</v>
      </c>
      <c r="J42" t="s">
        <v>112</v>
      </c>
      <c r="K42" t="s">
        <v>18</v>
      </c>
    </row>
    <row r="43" spans="1:11" x14ac:dyDescent="0.25">
      <c r="A43" t="s">
        <v>113</v>
      </c>
      <c r="B43" s="2">
        <v>45062</v>
      </c>
      <c r="C43" t="s">
        <v>12</v>
      </c>
      <c r="D43" t="s">
        <v>46</v>
      </c>
      <c r="E43" t="s">
        <v>44</v>
      </c>
      <c r="F43">
        <v>103560.67</v>
      </c>
      <c r="G43" t="s">
        <v>28</v>
      </c>
      <c r="H43" t="s">
        <v>34</v>
      </c>
      <c r="I43" t="s">
        <v>17</v>
      </c>
      <c r="J43" t="s">
        <v>114</v>
      </c>
      <c r="K43" t="s">
        <v>18</v>
      </c>
    </row>
    <row r="44" spans="1:11" x14ac:dyDescent="0.25">
      <c r="A44" t="s">
        <v>115</v>
      </c>
      <c r="B44" s="2">
        <v>45794</v>
      </c>
      <c r="C44" t="s">
        <v>12</v>
      </c>
      <c r="D44" t="s">
        <v>60</v>
      </c>
      <c r="E44" t="s">
        <v>22</v>
      </c>
      <c r="F44">
        <v>9799.7000000000007</v>
      </c>
      <c r="G44" t="s">
        <v>28</v>
      </c>
      <c r="H44" t="s">
        <v>16</v>
      </c>
      <c r="I44" t="s">
        <v>17</v>
      </c>
      <c r="K44" t="s">
        <v>18</v>
      </c>
    </row>
    <row r="45" spans="1:11" x14ac:dyDescent="0.25">
      <c r="A45" t="s">
        <v>116</v>
      </c>
      <c r="B45" s="2">
        <v>45128</v>
      </c>
      <c r="C45" t="s">
        <v>59</v>
      </c>
      <c r="D45" t="s">
        <v>26</v>
      </c>
      <c r="E45" t="s">
        <v>44</v>
      </c>
      <c r="F45">
        <v>96480.34</v>
      </c>
      <c r="G45" t="s">
        <v>15</v>
      </c>
      <c r="H45" t="s">
        <v>16</v>
      </c>
      <c r="I45" t="s">
        <v>17</v>
      </c>
      <c r="J45" t="s">
        <v>117</v>
      </c>
      <c r="K45" t="s">
        <v>18</v>
      </c>
    </row>
    <row r="46" spans="1:11" x14ac:dyDescent="0.25">
      <c r="A46" t="s">
        <v>40</v>
      </c>
      <c r="B46" s="2">
        <v>45217</v>
      </c>
      <c r="C46" t="s">
        <v>20</v>
      </c>
      <c r="D46" t="s">
        <v>21</v>
      </c>
      <c r="E46" t="s">
        <v>41</v>
      </c>
      <c r="F46">
        <v>74694.259999999995</v>
      </c>
      <c r="G46" t="s">
        <v>28</v>
      </c>
      <c r="H46" t="s">
        <v>16</v>
      </c>
      <c r="I46" t="s">
        <v>17</v>
      </c>
      <c r="J46" t="s">
        <v>118</v>
      </c>
      <c r="K46" t="s">
        <v>18</v>
      </c>
    </row>
    <row r="47" spans="1:11" x14ac:dyDescent="0.25">
      <c r="A47" t="s">
        <v>119</v>
      </c>
      <c r="B47" s="2">
        <v>45831</v>
      </c>
      <c r="C47" t="s">
        <v>25</v>
      </c>
      <c r="D47" t="s">
        <v>46</v>
      </c>
      <c r="E47" t="s">
        <v>14</v>
      </c>
      <c r="F47">
        <v>82054.02</v>
      </c>
      <c r="G47" t="s">
        <v>28</v>
      </c>
      <c r="H47" t="s">
        <v>16</v>
      </c>
      <c r="I47" t="s">
        <v>17</v>
      </c>
      <c r="J47" t="s">
        <v>120</v>
      </c>
      <c r="K47" t="s">
        <v>30</v>
      </c>
    </row>
    <row r="48" spans="1:11" x14ac:dyDescent="0.25">
      <c r="A48" t="s">
        <v>121</v>
      </c>
      <c r="B48" s="2">
        <v>45808</v>
      </c>
      <c r="C48" t="s">
        <v>12</v>
      </c>
      <c r="D48" t="s">
        <v>37</v>
      </c>
      <c r="E48" t="s">
        <v>27</v>
      </c>
      <c r="F48">
        <v>151054.99</v>
      </c>
      <c r="G48" t="s">
        <v>38</v>
      </c>
      <c r="H48" t="s">
        <v>16</v>
      </c>
      <c r="I48" t="s">
        <v>17</v>
      </c>
      <c r="J48" t="s">
        <v>122</v>
      </c>
      <c r="K48" t="s">
        <v>18</v>
      </c>
    </row>
    <row r="49" spans="1:11" x14ac:dyDescent="0.25">
      <c r="A49" t="s">
        <v>123</v>
      </c>
      <c r="B49" s="2">
        <v>45604</v>
      </c>
      <c r="C49" t="s">
        <v>12</v>
      </c>
      <c r="D49" t="s">
        <v>46</v>
      </c>
      <c r="E49" t="s">
        <v>27</v>
      </c>
      <c r="F49">
        <v>74311.539999999994</v>
      </c>
      <c r="G49" t="s">
        <v>38</v>
      </c>
      <c r="H49" t="s">
        <v>16</v>
      </c>
      <c r="I49" t="s">
        <v>17</v>
      </c>
      <c r="K49" t="s">
        <v>30</v>
      </c>
    </row>
    <row r="50" spans="1:11" x14ac:dyDescent="0.25">
      <c r="A50" t="s">
        <v>124</v>
      </c>
      <c r="B50" s="2">
        <v>45678</v>
      </c>
      <c r="C50" t="s">
        <v>12</v>
      </c>
      <c r="D50" t="s">
        <v>21</v>
      </c>
      <c r="E50" t="s">
        <v>14</v>
      </c>
      <c r="F50">
        <v>118928.53</v>
      </c>
      <c r="G50" t="s">
        <v>38</v>
      </c>
      <c r="H50" t="s">
        <v>16</v>
      </c>
      <c r="I50" t="s">
        <v>17</v>
      </c>
      <c r="K50" t="s">
        <v>18</v>
      </c>
    </row>
    <row r="51" spans="1:11" x14ac:dyDescent="0.25">
      <c r="A51" t="s">
        <v>125</v>
      </c>
      <c r="B51" s="2">
        <v>45514</v>
      </c>
      <c r="C51" t="s">
        <v>12</v>
      </c>
      <c r="D51" t="s">
        <v>46</v>
      </c>
      <c r="E51" t="s">
        <v>14</v>
      </c>
      <c r="F51">
        <v>162114.29</v>
      </c>
      <c r="G51" t="s">
        <v>28</v>
      </c>
      <c r="H51" t="s">
        <v>16</v>
      </c>
      <c r="I51" t="s">
        <v>17</v>
      </c>
      <c r="J51" t="s">
        <v>126</v>
      </c>
      <c r="K51" t="s">
        <v>18</v>
      </c>
    </row>
    <row r="52" spans="1:11" x14ac:dyDescent="0.25">
      <c r="A52" t="s">
        <v>127</v>
      </c>
      <c r="B52" s="2">
        <v>45120</v>
      </c>
      <c r="C52" t="s">
        <v>12</v>
      </c>
      <c r="D52" t="s">
        <v>60</v>
      </c>
      <c r="E52" t="s">
        <v>27</v>
      </c>
      <c r="F52">
        <v>45405.73</v>
      </c>
      <c r="G52" t="s">
        <v>38</v>
      </c>
      <c r="H52" t="s">
        <v>16</v>
      </c>
      <c r="I52" t="s">
        <v>17</v>
      </c>
      <c r="J52" t="s">
        <v>128</v>
      </c>
      <c r="K52" t="s">
        <v>30</v>
      </c>
    </row>
    <row r="53" spans="1:11" x14ac:dyDescent="0.25">
      <c r="A53" t="s">
        <v>129</v>
      </c>
      <c r="B53" s="2">
        <v>45138</v>
      </c>
      <c r="C53" t="s">
        <v>25</v>
      </c>
      <c r="D53" t="s">
        <v>26</v>
      </c>
      <c r="E53" t="s">
        <v>27</v>
      </c>
      <c r="F53">
        <v>20644.86</v>
      </c>
      <c r="G53" t="s">
        <v>28</v>
      </c>
      <c r="H53" t="s">
        <v>16</v>
      </c>
      <c r="I53" t="s">
        <v>17</v>
      </c>
      <c r="J53" t="s">
        <v>130</v>
      </c>
      <c r="K53" t="s">
        <v>18</v>
      </c>
    </row>
    <row r="54" spans="1:11" x14ac:dyDescent="0.25">
      <c r="A54" t="s">
        <v>131</v>
      </c>
      <c r="B54" s="2">
        <v>45325</v>
      </c>
      <c r="C54" t="s">
        <v>73</v>
      </c>
      <c r="D54" t="s">
        <v>46</v>
      </c>
      <c r="E54" t="s">
        <v>22</v>
      </c>
      <c r="F54">
        <v>75152.009999999995</v>
      </c>
      <c r="G54" t="s">
        <v>38</v>
      </c>
      <c r="H54" t="s">
        <v>34</v>
      </c>
      <c r="I54" t="s">
        <v>17</v>
      </c>
      <c r="J54" t="s">
        <v>132</v>
      </c>
      <c r="K54" t="s">
        <v>18</v>
      </c>
    </row>
    <row r="55" spans="1:11" x14ac:dyDescent="0.25">
      <c r="A55" t="s">
        <v>133</v>
      </c>
      <c r="B55" s="2">
        <v>45633</v>
      </c>
      <c r="C55" t="s">
        <v>12</v>
      </c>
      <c r="D55" t="s">
        <v>60</v>
      </c>
      <c r="E55" t="s">
        <v>41</v>
      </c>
      <c r="F55">
        <v>155027.88</v>
      </c>
      <c r="G55" t="s">
        <v>15</v>
      </c>
      <c r="H55" t="s">
        <v>16</v>
      </c>
      <c r="I55" t="s">
        <v>17</v>
      </c>
      <c r="J55" t="s">
        <v>134</v>
      </c>
      <c r="K55" t="s">
        <v>18</v>
      </c>
    </row>
    <row r="56" spans="1:11" x14ac:dyDescent="0.25">
      <c r="A56" t="s">
        <v>135</v>
      </c>
      <c r="B56" s="2">
        <v>45555</v>
      </c>
      <c r="C56" t="s">
        <v>20</v>
      </c>
      <c r="D56" t="s">
        <v>46</v>
      </c>
      <c r="E56" t="s">
        <v>27</v>
      </c>
      <c r="F56">
        <v>26349</v>
      </c>
      <c r="G56" t="s">
        <v>28</v>
      </c>
      <c r="H56" t="s">
        <v>16</v>
      </c>
      <c r="I56" t="s">
        <v>17</v>
      </c>
      <c r="J56" t="s">
        <v>136</v>
      </c>
      <c r="K56" t="s">
        <v>18</v>
      </c>
    </row>
    <row r="57" spans="1:11" x14ac:dyDescent="0.25">
      <c r="A57" t="s">
        <v>137</v>
      </c>
      <c r="B57" s="2">
        <v>45523</v>
      </c>
      <c r="C57" t="s">
        <v>12</v>
      </c>
      <c r="D57" t="s">
        <v>26</v>
      </c>
      <c r="E57" t="s">
        <v>22</v>
      </c>
      <c r="F57">
        <v>208702.47</v>
      </c>
      <c r="G57" t="s">
        <v>38</v>
      </c>
      <c r="H57" t="s">
        <v>16</v>
      </c>
      <c r="I57" t="s">
        <v>17</v>
      </c>
      <c r="J57" t="s">
        <v>138</v>
      </c>
      <c r="K57" t="s">
        <v>30</v>
      </c>
    </row>
    <row r="58" spans="1:11" x14ac:dyDescent="0.25">
      <c r="A58" t="s">
        <v>139</v>
      </c>
      <c r="B58" s="2">
        <v>45579</v>
      </c>
      <c r="C58" t="s">
        <v>20</v>
      </c>
      <c r="D58" t="s">
        <v>46</v>
      </c>
      <c r="E58" t="s">
        <v>140</v>
      </c>
      <c r="F58">
        <v>290788.09999999998</v>
      </c>
      <c r="G58" t="s">
        <v>28</v>
      </c>
      <c r="H58" t="s">
        <v>16</v>
      </c>
      <c r="I58" t="s">
        <v>17</v>
      </c>
      <c r="J58" t="s">
        <v>141</v>
      </c>
      <c r="K58" t="s">
        <v>30</v>
      </c>
    </row>
    <row r="59" spans="1:11" x14ac:dyDescent="0.25">
      <c r="A59" t="s">
        <v>142</v>
      </c>
      <c r="B59" s="2">
        <v>45927</v>
      </c>
      <c r="C59" t="s">
        <v>25</v>
      </c>
      <c r="D59" t="s">
        <v>26</v>
      </c>
      <c r="E59" t="s">
        <v>22</v>
      </c>
      <c r="F59">
        <v>161329.22</v>
      </c>
      <c r="G59" t="s">
        <v>28</v>
      </c>
      <c r="H59" t="s">
        <v>16</v>
      </c>
      <c r="I59" t="s">
        <v>17</v>
      </c>
      <c r="J59" t="s">
        <v>143</v>
      </c>
      <c r="K59" t="s">
        <v>18</v>
      </c>
    </row>
    <row r="60" spans="1:11" x14ac:dyDescent="0.25">
      <c r="A60" t="s">
        <v>144</v>
      </c>
      <c r="B60" s="2">
        <v>45751</v>
      </c>
      <c r="C60" t="s">
        <v>20</v>
      </c>
      <c r="D60" t="s">
        <v>13</v>
      </c>
      <c r="E60" t="s">
        <v>22</v>
      </c>
      <c r="F60">
        <v>205143.55</v>
      </c>
      <c r="G60" t="s">
        <v>15</v>
      </c>
      <c r="H60" t="s">
        <v>16</v>
      </c>
      <c r="I60" t="s">
        <v>17</v>
      </c>
      <c r="K60" t="s">
        <v>18</v>
      </c>
    </row>
    <row r="61" spans="1:11" x14ac:dyDescent="0.25">
      <c r="A61" t="s">
        <v>145</v>
      </c>
      <c r="B61" s="2">
        <v>44945</v>
      </c>
      <c r="C61" t="s">
        <v>59</v>
      </c>
      <c r="D61" t="s">
        <v>64</v>
      </c>
      <c r="E61" t="s">
        <v>14</v>
      </c>
      <c r="F61">
        <v>106518.82</v>
      </c>
      <c r="G61" t="s">
        <v>15</v>
      </c>
      <c r="H61" t="s">
        <v>16</v>
      </c>
      <c r="I61" t="s">
        <v>17</v>
      </c>
      <c r="J61" t="s">
        <v>146</v>
      </c>
      <c r="K61" t="s">
        <v>18</v>
      </c>
    </row>
    <row r="62" spans="1:11" x14ac:dyDescent="0.25">
      <c r="A62" t="s">
        <v>147</v>
      </c>
      <c r="B62" s="2">
        <v>45521</v>
      </c>
      <c r="C62" t="s">
        <v>25</v>
      </c>
      <c r="D62" t="s">
        <v>64</v>
      </c>
      <c r="E62" t="s">
        <v>22</v>
      </c>
      <c r="F62">
        <v>68677.67</v>
      </c>
      <c r="G62" t="s">
        <v>28</v>
      </c>
      <c r="H62" t="s">
        <v>16</v>
      </c>
      <c r="I62" t="s">
        <v>17</v>
      </c>
      <c r="J62" t="s">
        <v>148</v>
      </c>
      <c r="K62" t="s">
        <v>18</v>
      </c>
    </row>
    <row r="63" spans="1:11" x14ac:dyDescent="0.25">
      <c r="A63" t="s">
        <v>149</v>
      </c>
      <c r="B63" s="2">
        <v>45570</v>
      </c>
      <c r="C63" t="s">
        <v>12</v>
      </c>
      <c r="D63" t="s">
        <v>64</v>
      </c>
      <c r="E63" t="s">
        <v>22</v>
      </c>
      <c r="G63" t="s">
        <v>28</v>
      </c>
      <c r="H63" t="s">
        <v>34</v>
      </c>
      <c r="I63" t="s">
        <v>17</v>
      </c>
      <c r="J63" t="s">
        <v>150</v>
      </c>
      <c r="K63" t="s">
        <v>18</v>
      </c>
    </row>
    <row r="64" spans="1:11" x14ac:dyDescent="0.25">
      <c r="A64" t="s">
        <v>151</v>
      </c>
      <c r="B64" s="2">
        <v>45577</v>
      </c>
      <c r="C64" t="s">
        <v>25</v>
      </c>
      <c r="D64" t="s">
        <v>46</v>
      </c>
      <c r="E64" t="s">
        <v>14</v>
      </c>
      <c r="F64">
        <v>161409.70000000001</v>
      </c>
      <c r="G64" t="s">
        <v>15</v>
      </c>
      <c r="H64" t="s">
        <v>16</v>
      </c>
      <c r="I64" t="s">
        <v>17</v>
      </c>
      <c r="J64" t="s">
        <v>152</v>
      </c>
      <c r="K64" t="s">
        <v>18</v>
      </c>
    </row>
    <row r="65" spans="1:11" x14ac:dyDescent="0.25">
      <c r="A65" t="s">
        <v>153</v>
      </c>
      <c r="B65" s="2">
        <v>45754</v>
      </c>
      <c r="C65" t="s">
        <v>12</v>
      </c>
      <c r="D65" t="s">
        <v>21</v>
      </c>
      <c r="E65" t="s">
        <v>53</v>
      </c>
      <c r="F65">
        <v>189712.64000000001</v>
      </c>
      <c r="G65" t="s">
        <v>15</v>
      </c>
      <c r="H65" t="s">
        <v>34</v>
      </c>
      <c r="I65" t="s">
        <v>17</v>
      </c>
      <c r="K65" t="s">
        <v>18</v>
      </c>
    </row>
    <row r="66" spans="1:11" x14ac:dyDescent="0.25">
      <c r="A66" t="s">
        <v>154</v>
      </c>
      <c r="B66" s="2">
        <v>45195</v>
      </c>
      <c r="C66" t="s">
        <v>20</v>
      </c>
      <c r="D66" t="s">
        <v>64</v>
      </c>
      <c r="E66" t="s">
        <v>27</v>
      </c>
      <c r="F66">
        <v>18866.32</v>
      </c>
      <c r="G66" t="s">
        <v>15</v>
      </c>
      <c r="H66" t="s">
        <v>16</v>
      </c>
      <c r="I66" t="s">
        <v>17</v>
      </c>
      <c r="K66" t="s">
        <v>18</v>
      </c>
    </row>
    <row r="67" spans="1:11" x14ac:dyDescent="0.25">
      <c r="A67" t="s">
        <v>155</v>
      </c>
      <c r="B67" s="2">
        <v>45246</v>
      </c>
      <c r="C67" t="s">
        <v>12</v>
      </c>
      <c r="D67" t="s">
        <v>60</v>
      </c>
      <c r="E67" t="s">
        <v>156</v>
      </c>
      <c r="F67">
        <v>12378.79</v>
      </c>
      <c r="G67" t="s">
        <v>28</v>
      </c>
      <c r="H67" t="s">
        <v>34</v>
      </c>
      <c r="I67" t="s">
        <v>17</v>
      </c>
      <c r="J67" t="s">
        <v>157</v>
      </c>
      <c r="K67" t="s">
        <v>18</v>
      </c>
    </row>
    <row r="68" spans="1:11" x14ac:dyDescent="0.25">
      <c r="A68" t="s">
        <v>158</v>
      </c>
      <c r="B68" s="2">
        <v>46010</v>
      </c>
      <c r="C68" t="s">
        <v>25</v>
      </c>
      <c r="D68" t="s">
        <v>13</v>
      </c>
      <c r="E68" t="s">
        <v>22</v>
      </c>
      <c r="F68">
        <v>309478.17</v>
      </c>
      <c r="G68" t="s">
        <v>38</v>
      </c>
      <c r="H68" t="s">
        <v>16</v>
      </c>
      <c r="I68" t="s">
        <v>17</v>
      </c>
      <c r="J68" t="s">
        <v>159</v>
      </c>
      <c r="K68" t="s">
        <v>18</v>
      </c>
    </row>
    <row r="69" spans="1:11" x14ac:dyDescent="0.25">
      <c r="A69" t="s">
        <v>160</v>
      </c>
      <c r="B69" s="2">
        <v>45091</v>
      </c>
      <c r="C69" t="s">
        <v>20</v>
      </c>
      <c r="D69" t="s">
        <v>60</v>
      </c>
      <c r="E69" t="s">
        <v>22</v>
      </c>
      <c r="F69">
        <v>71238.41</v>
      </c>
      <c r="G69" t="s">
        <v>15</v>
      </c>
      <c r="H69" t="s">
        <v>16</v>
      </c>
      <c r="I69" t="s">
        <v>17</v>
      </c>
      <c r="K69" t="s">
        <v>18</v>
      </c>
    </row>
    <row r="70" spans="1:11" x14ac:dyDescent="0.25">
      <c r="A70" t="s">
        <v>161</v>
      </c>
      <c r="B70" s="2">
        <v>45428</v>
      </c>
      <c r="C70" t="s">
        <v>20</v>
      </c>
      <c r="D70" t="s">
        <v>64</v>
      </c>
      <c r="E70" t="s">
        <v>44</v>
      </c>
      <c r="F70">
        <v>127485.8</v>
      </c>
      <c r="G70" t="s">
        <v>15</v>
      </c>
      <c r="H70" t="s">
        <v>16</v>
      </c>
      <c r="I70" t="s">
        <v>17</v>
      </c>
      <c r="J70" t="s">
        <v>162</v>
      </c>
      <c r="K70" t="s">
        <v>18</v>
      </c>
    </row>
    <row r="71" spans="1:11" x14ac:dyDescent="0.25">
      <c r="A71" t="s">
        <v>163</v>
      </c>
      <c r="B71" s="2">
        <v>45621</v>
      </c>
      <c r="C71" t="s">
        <v>12</v>
      </c>
      <c r="D71" t="s">
        <v>26</v>
      </c>
      <c r="E71" t="s">
        <v>14</v>
      </c>
      <c r="F71">
        <v>172805.49</v>
      </c>
      <c r="G71" t="s">
        <v>38</v>
      </c>
      <c r="H71" t="s">
        <v>16</v>
      </c>
      <c r="I71" t="s">
        <v>17</v>
      </c>
      <c r="J71" t="s">
        <v>164</v>
      </c>
      <c r="K71" t="s">
        <v>30</v>
      </c>
    </row>
    <row r="72" spans="1:11" x14ac:dyDescent="0.25">
      <c r="A72" t="s">
        <v>165</v>
      </c>
      <c r="B72" s="2">
        <v>45316</v>
      </c>
      <c r="C72" t="s">
        <v>25</v>
      </c>
      <c r="D72" t="s">
        <v>26</v>
      </c>
      <c r="E72" t="s">
        <v>22</v>
      </c>
      <c r="F72">
        <v>200214.55</v>
      </c>
      <c r="G72" t="s">
        <v>28</v>
      </c>
      <c r="H72" t="s">
        <v>16</v>
      </c>
      <c r="I72" t="s">
        <v>17</v>
      </c>
      <c r="J72" t="s">
        <v>166</v>
      </c>
      <c r="K72" t="s">
        <v>18</v>
      </c>
    </row>
    <row r="73" spans="1:11" x14ac:dyDescent="0.25">
      <c r="A73" t="s">
        <v>167</v>
      </c>
      <c r="B73" s="2">
        <v>45204</v>
      </c>
      <c r="C73" t="s">
        <v>12</v>
      </c>
      <c r="D73" t="s">
        <v>21</v>
      </c>
      <c r="E73" t="s">
        <v>14</v>
      </c>
      <c r="F73">
        <v>133396.25</v>
      </c>
      <c r="G73" t="s">
        <v>28</v>
      </c>
      <c r="H73" t="s">
        <v>16</v>
      </c>
      <c r="I73" t="s">
        <v>17</v>
      </c>
      <c r="J73" t="s">
        <v>168</v>
      </c>
      <c r="K73" t="s">
        <v>18</v>
      </c>
    </row>
    <row r="74" spans="1:11" x14ac:dyDescent="0.25">
      <c r="A74" t="s">
        <v>169</v>
      </c>
      <c r="B74" s="2">
        <v>45570</v>
      </c>
      <c r="C74" t="s">
        <v>20</v>
      </c>
      <c r="D74" t="s">
        <v>26</v>
      </c>
      <c r="E74" t="s">
        <v>140</v>
      </c>
      <c r="F74">
        <v>287692.34999999998</v>
      </c>
      <c r="G74" t="s">
        <v>15</v>
      </c>
      <c r="H74" t="s">
        <v>16</v>
      </c>
      <c r="I74" t="s">
        <v>17</v>
      </c>
      <c r="J74" t="s">
        <v>170</v>
      </c>
      <c r="K74" t="s">
        <v>18</v>
      </c>
    </row>
    <row r="75" spans="1:11" x14ac:dyDescent="0.25">
      <c r="A75" t="s">
        <v>171</v>
      </c>
      <c r="B75" s="2">
        <v>45283</v>
      </c>
      <c r="C75" t="s">
        <v>20</v>
      </c>
      <c r="D75" t="s">
        <v>21</v>
      </c>
      <c r="E75" t="s">
        <v>44</v>
      </c>
      <c r="F75">
        <v>263422.40000000002</v>
      </c>
      <c r="G75" t="s">
        <v>28</v>
      </c>
      <c r="H75" t="s">
        <v>16</v>
      </c>
      <c r="I75" t="s">
        <v>17</v>
      </c>
      <c r="J75" t="s">
        <v>172</v>
      </c>
      <c r="K75" t="s">
        <v>30</v>
      </c>
    </row>
    <row r="76" spans="1:11" x14ac:dyDescent="0.25">
      <c r="A76" t="s">
        <v>173</v>
      </c>
      <c r="B76" s="2">
        <v>45172</v>
      </c>
      <c r="C76" t="s">
        <v>20</v>
      </c>
      <c r="D76" t="s">
        <v>21</v>
      </c>
      <c r="E76" t="s">
        <v>14</v>
      </c>
      <c r="F76">
        <v>186069.28</v>
      </c>
      <c r="G76" t="s">
        <v>28</v>
      </c>
      <c r="H76" t="s">
        <v>34</v>
      </c>
      <c r="I76" t="s">
        <v>17</v>
      </c>
      <c r="J76" t="s">
        <v>174</v>
      </c>
      <c r="K76" t="s">
        <v>18</v>
      </c>
    </row>
    <row r="77" spans="1:11" x14ac:dyDescent="0.25">
      <c r="A77" t="s">
        <v>175</v>
      </c>
      <c r="B77" s="2">
        <v>45890</v>
      </c>
      <c r="C77" t="s">
        <v>59</v>
      </c>
      <c r="D77" t="s">
        <v>13</v>
      </c>
      <c r="E77" t="s">
        <v>156</v>
      </c>
      <c r="F77">
        <v>233987.98</v>
      </c>
      <c r="G77" t="s">
        <v>28</v>
      </c>
      <c r="H77" t="s">
        <v>16</v>
      </c>
      <c r="I77" t="s">
        <v>17</v>
      </c>
      <c r="J77" t="s">
        <v>176</v>
      </c>
      <c r="K77" t="s">
        <v>30</v>
      </c>
    </row>
    <row r="78" spans="1:11" x14ac:dyDescent="0.25">
      <c r="A78" t="s">
        <v>177</v>
      </c>
      <c r="B78" s="2">
        <v>45285</v>
      </c>
      <c r="C78" t="s">
        <v>20</v>
      </c>
      <c r="D78" t="s">
        <v>60</v>
      </c>
      <c r="E78" t="s">
        <v>14</v>
      </c>
      <c r="F78">
        <v>357000.42</v>
      </c>
      <c r="G78" t="s">
        <v>28</v>
      </c>
      <c r="H78" t="s">
        <v>34</v>
      </c>
      <c r="I78" t="s">
        <v>17</v>
      </c>
      <c r="J78" t="s">
        <v>178</v>
      </c>
      <c r="K78" t="s">
        <v>30</v>
      </c>
    </row>
    <row r="79" spans="1:11" x14ac:dyDescent="0.25">
      <c r="A79" t="s">
        <v>179</v>
      </c>
      <c r="B79" s="2">
        <v>45668</v>
      </c>
      <c r="C79" t="s">
        <v>20</v>
      </c>
      <c r="D79" t="s">
        <v>64</v>
      </c>
      <c r="E79" t="s">
        <v>22</v>
      </c>
      <c r="F79">
        <v>142312.20000000001</v>
      </c>
      <c r="G79" t="s">
        <v>38</v>
      </c>
      <c r="H79" t="s">
        <v>16</v>
      </c>
      <c r="I79" t="s">
        <v>17</v>
      </c>
      <c r="J79" t="s">
        <v>180</v>
      </c>
      <c r="K79" t="s">
        <v>18</v>
      </c>
    </row>
    <row r="80" spans="1:11" x14ac:dyDescent="0.25">
      <c r="A80" t="s">
        <v>181</v>
      </c>
      <c r="B80" s="2">
        <v>45759</v>
      </c>
      <c r="C80" t="s">
        <v>20</v>
      </c>
      <c r="D80" t="s">
        <v>64</v>
      </c>
      <c r="E80" t="s">
        <v>22</v>
      </c>
      <c r="F80">
        <v>107521.12</v>
      </c>
      <c r="G80" t="s">
        <v>15</v>
      </c>
      <c r="H80" t="s">
        <v>34</v>
      </c>
      <c r="I80" t="s">
        <v>17</v>
      </c>
      <c r="J80" t="s">
        <v>182</v>
      </c>
      <c r="K80" t="s">
        <v>30</v>
      </c>
    </row>
    <row r="81" spans="1:11" x14ac:dyDescent="0.25">
      <c r="A81" t="s">
        <v>183</v>
      </c>
      <c r="B81" s="2">
        <v>45645</v>
      </c>
      <c r="C81" t="s">
        <v>20</v>
      </c>
      <c r="D81" t="s">
        <v>60</v>
      </c>
      <c r="E81" t="s">
        <v>22</v>
      </c>
      <c r="F81">
        <v>146837.72</v>
      </c>
      <c r="G81" t="s">
        <v>15</v>
      </c>
      <c r="H81" t="s">
        <v>34</v>
      </c>
      <c r="I81" t="s">
        <v>17</v>
      </c>
      <c r="J81" t="s">
        <v>184</v>
      </c>
      <c r="K81" t="s">
        <v>30</v>
      </c>
    </row>
    <row r="82" spans="1:11" x14ac:dyDescent="0.25">
      <c r="A82" t="s">
        <v>185</v>
      </c>
      <c r="B82" s="2">
        <v>45440</v>
      </c>
      <c r="C82" t="s">
        <v>12</v>
      </c>
      <c r="D82" t="s">
        <v>64</v>
      </c>
      <c r="E82" t="s">
        <v>14</v>
      </c>
      <c r="F82">
        <v>234286.07</v>
      </c>
      <c r="G82" t="s">
        <v>28</v>
      </c>
      <c r="H82" t="s">
        <v>34</v>
      </c>
      <c r="I82" t="s">
        <v>17</v>
      </c>
      <c r="J82" t="s">
        <v>186</v>
      </c>
      <c r="K82" t="s">
        <v>18</v>
      </c>
    </row>
    <row r="83" spans="1:11" x14ac:dyDescent="0.25">
      <c r="A83" t="s">
        <v>187</v>
      </c>
      <c r="B83" s="2">
        <v>45751</v>
      </c>
      <c r="C83" t="s">
        <v>25</v>
      </c>
      <c r="D83" t="s">
        <v>37</v>
      </c>
      <c r="E83" t="s">
        <v>22</v>
      </c>
      <c r="F83">
        <v>211637.46</v>
      </c>
      <c r="G83" t="s">
        <v>28</v>
      </c>
      <c r="H83" t="s">
        <v>16</v>
      </c>
      <c r="I83" t="s">
        <v>17</v>
      </c>
      <c r="J83" t="s">
        <v>188</v>
      </c>
      <c r="K83" t="s">
        <v>18</v>
      </c>
    </row>
    <row r="84" spans="1:11" x14ac:dyDescent="0.25">
      <c r="A84" t="s">
        <v>189</v>
      </c>
      <c r="B84" s="2">
        <v>45277</v>
      </c>
      <c r="C84" t="s">
        <v>73</v>
      </c>
      <c r="D84" t="s">
        <v>13</v>
      </c>
      <c r="E84" t="s">
        <v>27</v>
      </c>
      <c r="F84">
        <v>156918.5</v>
      </c>
      <c r="G84" t="s">
        <v>28</v>
      </c>
      <c r="H84" t="s">
        <v>16</v>
      </c>
      <c r="I84" t="s">
        <v>17</v>
      </c>
      <c r="J84" t="s">
        <v>190</v>
      </c>
      <c r="K84" t="s">
        <v>18</v>
      </c>
    </row>
    <row r="85" spans="1:11" x14ac:dyDescent="0.25">
      <c r="A85" t="s">
        <v>191</v>
      </c>
      <c r="B85" s="2">
        <v>45492</v>
      </c>
      <c r="C85" t="s">
        <v>12</v>
      </c>
      <c r="D85" t="s">
        <v>37</v>
      </c>
      <c r="E85" t="s">
        <v>27</v>
      </c>
      <c r="F85">
        <v>24895.62</v>
      </c>
      <c r="G85" t="s">
        <v>38</v>
      </c>
      <c r="H85" t="s">
        <v>16</v>
      </c>
      <c r="I85" t="s">
        <v>17</v>
      </c>
      <c r="J85" t="s">
        <v>192</v>
      </c>
      <c r="K85" t="s">
        <v>18</v>
      </c>
    </row>
    <row r="86" spans="1:11" x14ac:dyDescent="0.25">
      <c r="A86" t="s">
        <v>193</v>
      </c>
      <c r="B86" s="2">
        <v>45673</v>
      </c>
      <c r="C86" t="s">
        <v>12</v>
      </c>
      <c r="D86" t="s">
        <v>64</v>
      </c>
      <c r="E86" t="s">
        <v>14</v>
      </c>
      <c r="F86">
        <v>108141.97</v>
      </c>
      <c r="G86" t="s">
        <v>28</v>
      </c>
      <c r="H86" t="s">
        <v>16</v>
      </c>
      <c r="I86" t="s">
        <v>17</v>
      </c>
      <c r="J86" t="s">
        <v>194</v>
      </c>
      <c r="K86" t="s">
        <v>30</v>
      </c>
    </row>
    <row r="87" spans="1:11" x14ac:dyDescent="0.25">
      <c r="A87" t="s">
        <v>195</v>
      </c>
      <c r="B87" s="2">
        <v>45018</v>
      </c>
      <c r="C87" t="s">
        <v>25</v>
      </c>
      <c r="D87" t="s">
        <v>26</v>
      </c>
      <c r="E87" t="s">
        <v>156</v>
      </c>
      <c r="F87">
        <v>9749.34</v>
      </c>
      <c r="G87" t="s">
        <v>28</v>
      </c>
      <c r="H87" t="s">
        <v>16</v>
      </c>
      <c r="I87" t="s">
        <v>17</v>
      </c>
      <c r="J87" t="s">
        <v>196</v>
      </c>
      <c r="K87" t="s">
        <v>18</v>
      </c>
    </row>
    <row r="88" spans="1:11" x14ac:dyDescent="0.25">
      <c r="A88" t="s">
        <v>197</v>
      </c>
      <c r="B88" s="2">
        <v>45285</v>
      </c>
      <c r="C88" t="s">
        <v>20</v>
      </c>
      <c r="D88" t="s">
        <v>37</v>
      </c>
      <c r="E88" t="s">
        <v>44</v>
      </c>
      <c r="F88">
        <v>215479.48</v>
      </c>
      <c r="G88" t="s">
        <v>15</v>
      </c>
      <c r="H88" t="s">
        <v>16</v>
      </c>
      <c r="I88" t="s">
        <v>17</v>
      </c>
      <c r="J88" t="s">
        <v>198</v>
      </c>
      <c r="K88" t="s">
        <v>18</v>
      </c>
    </row>
    <row r="89" spans="1:11" x14ac:dyDescent="0.25">
      <c r="A89" t="s">
        <v>199</v>
      </c>
      <c r="B89" s="2">
        <v>45970</v>
      </c>
      <c r="C89" t="s">
        <v>12</v>
      </c>
      <c r="D89" t="s">
        <v>60</v>
      </c>
      <c r="E89" t="s">
        <v>44</v>
      </c>
      <c r="F89">
        <v>219179.26</v>
      </c>
      <c r="G89" t="s">
        <v>28</v>
      </c>
      <c r="H89" t="s">
        <v>34</v>
      </c>
      <c r="I89" t="s">
        <v>17</v>
      </c>
      <c r="J89" t="s">
        <v>200</v>
      </c>
      <c r="K89" t="s">
        <v>18</v>
      </c>
    </row>
    <row r="90" spans="1:11" x14ac:dyDescent="0.25">
      <c r="A90" t="s">
        <v>201</v>
      </c>
      <c r="B90" s="2">
        <v>45734</v>
      </c>
      <c r="C90" t="s">
        <v>12</v>
      </c>
      <c r="D90" t="s">
        <v>60</v>
      </c>
      <c r="E90" t="s">
        <v>41</v>
      </c>
      <c r="F90">
        <v>220595.19</v>
      </c>
      <c r="G90" t="s">
        <v>15</v>
      </c>
      <c r="H90" t="s">
        <v>16</v>
      </c>
      <c r="I90" t="s">
        <v>17</v>
      </c>
      <c r="J90" t="s">
        <v>202</v>
      </c>
      <c r="K90" t="s">
        <v>18</v>
      </c>
    </row>
    <row r="91" spans="1:11" x14ac:dyDescent="0.25">
      <c r="A91" t="s">
        <v>203</v>
      </c>
      <c r="B91" s="2">
        <v>45811</v>
      </c>
      <c r="C91" t="s">
        <v>25</v>
      </c>
      <c r="D91" t="s">
        <v>26</v>
      </c>
      <c r="E91" t="s">
        <v>14</v>
      </c>
      <c r="F91">
        <v>109049.84</v>
      </c>
      <c r="G91" t="s">
        <v>38</v>
      </c>
      <c r="H91" t="s">
        <v>16</v>
      </c>
      <c r="I91" t="s">
        <v>17</v>
      </c>
      <c r="K91" t="s">
        <v>18</v>
      </c>
    </row>
    <row r="92" spans="1:11" x14ac:dyDescent="0.25">
      <c r="A92" t="s">
        <v>204</v>
      </c>
      <c r="B92" s="2">
        <v>45170</v>
      </c>
      <c r="C92" t="s">
        <v>59</v>
      </c>
      <c r="D92" t="s">
        <v>21</v>
      </c>
      <c r="E92" t="s">
        <v>41</v>
      </c>
      <c r="F92">
        <v>164574.19</v>
      </c>
      <c r="G92" t="s">
        <v>28</v>
      </c>
      <c r="H92" t="s">
        <v>34</v>
      </c>
      <c r="I92" t="s">
        <v>17</v>
      </c>
      <c r="J92" t="s">
        <v>205</v>
      </c>
      <c r="K92" t="s">
        <v>18</v>
      </c>
    </row>
    <row r="93" spans="1:11" x14ac:dyDescent="0.25">
      <c r="A93" t="s">
        <v>206</v>
      </c>
      <c r="B93" s="2">
        <v>45126</v>
      </c>
      <c r="C93" t="s">
        <v>12</v>
      </c>
      <c r="D93" t="s">
        <v>37</v>
      </c>
      <c r="E93" t="s">
        <v>27</v>
      </c>
      <c r="F93">
        <v>50906.8</v>
      </c>
      <c r="G93" t="s">
        <v>28</v>
      </c>
      <c r="H93" t="s">
        <v>16</v>
      </c>
      <c r="I93" t="s">
        <v>17</v>
      </c>
      <c r="J93" t="s">
        <v>207</v>
      </c>
      <c r="K93" t="s">
        <v>18</v>
      </c>
    </row>
    <row r="94" spans="1:11" x14ac:dyDescent="0.25">
      <c r="A94" t="s">
        <v>208</v>
      </c>
      <c r="B94" s="2">
        <v>45414</v>
      </c>
      <c r="C94" t="s">
        <v>20</v>
      </c>
      <c r="D94" t="s">
        <v>13</v>
      </c>
      <c r="E94" t="s">
        <v>41</v>
      </c>
      <c r="F94">
        <v>130342.57</v>
      </c>
      <c r="G94" t="s">
        <v>28</v>
      </c>
      <c r="H94" t="s">
        <v>16</v>
      </c>
      <c r="I94" t="s">
        <v>17</v>
      </c>
      <c r="J94" t="s">
        <v>209</v>
      </c>
      <c r="K94" t="s">
        <v>18</v>
      </c>
    </row>
    <row r="95" spans="1:11" x14ac:dyDescent="0.25">
      <c r="A95" t="s">
        <v>210</v>
      </c>
      <c r="B95" s="2">
        <v>45073</v>
      </c>
      <c r="C95" t="s">
        <v>20</v>
      </c>
      <c r="D95" t="s">
        <v>46</v>
      </c>
      <c r="E95" t="s">
        <v>14</v>
      </c>
      <c r="F95">
        <v>118652.49</v>
      </c>
      <c r="G95" t="s">
        <v>15</v>
      </c>
      <c r="H95" t="s">
        <v>34</v>
      </c>
      <c r="I95" t="s">
        <v>17</v>
      </c>
      <c r="J95" t="s">
        <v>211</v>
      </c>
      <c r="K95" t="s">
        <v>18</v>
      </c>
    </row>
    <row r="96" spans="1:11" x14ac:dyDescent="0.25">
      <c r="A96" t="s">
        <v>212</v>
      </c>
      <c r="B96" s="2">
        <v>45201</v>
      </c>
      <c r="C96" t="s">
        <v>12</v>
      </c>
      <c r="D96" t="s">
        <v>64</v>
      </c>
      <c r="E96" t="s">
        <v>22</v>
      </c>
      <c r="F96">
        <v>148411.57</v>
      </c>
      <c r="G96" t="s">
        <v>28</v>
      </c>
      <c r="H96" t="s">
        <v>16</v>
      </c>
      <c r="I96" t="s">
        <v>17</v>
      </c>
      <c r="J96" t="s">
        <v>213</v>
      </c>
      <c r="K96" t="s">
        <v>18</v>
      </c>
    </row>
    <row r="97" spans="1:11" x14ac:dyDescent="0.25">
      <c r="A97" t="s">
        <v>214</v>
      </c>
      <c r="B97" s="2">
        <v>45595</v>
      </c>
      <c r="C97" t="s">
        <v>73</v>
      </c>
      <c r="D97" t="s">
        <v>60</v>
      </c>
      <c r="E97" t="s">
        <v>41</v>
      </c>
      <c r="F97">
        <v>111978.49</v>
      </c>
      <c r="G97" t="s">
        <v>28</v>
      </c>
      <c r="H97" t="s">
        <v>16</v>
      </c>
      <c r="I97" t="s">
        <v>17</v>
      </c>
      <c r="J97" t="s">
        <v>215</v>
      </c>
      <c r="K97" t="s">
        <v>18</v>
      </c>
    </row>
    <row r="98" spans="1:11" x14ac:dyDescent="0.25">
      <c r="A98" t="s">
        <v>216</v>
      </c>
      <c r="B98" s="2">
        <v>45702</v>
      </c>
      <c r="C98" t="s">
        <v>73</v>
      </c>
      <c r="D98" t="s">
        <v>46</v>
      </c>
      <c r="E98" t="s">
        <v>14</v>
      </c>
      <c r="F98">
        <v>217640.56</v>
      </c>
      <c r="G98" t="s">
        <v>28</v>
      </c>
      <c r="H98" t="s">
        <v>16</v>
      </c>
      <c r="I98" t="s">
        <v>17</v>
      </c>
      <c r="J98" t="s">
        <v>217</v>
      </c>
      <c r="K98" t="s">
        <v>18</v>
      </c>
    </row>
    <row r="99" spans="1:11" x14ac:dyDescent="0.25">
      <c r="A99" t="s">
        <v>218</v>
      </c>
      <c r="B99" s="2">
        <v>44974</v>
      </c>
      <c r="C99" t="s">
        <v>12</v>
      </c>
      <c r="D99" t="s">
        <v>21</v>
      </c>
      <c r="E99" t="s">
        <v>41</v>
      </c>
      <c r="F99">
        <v>38054.44</v>
      </c>
      <c r="G99" t="s">
        <v>38</v>
      </c>
      <c r="H99" t="s">
        <v>16</v>
      </c>
      <c r="I99" t="s">
        <v>17</v>
      </c>
      <c r="J99" t="s">
        <v>219</v>
      </c>
      <c r="K99" t="s">
        <v>18</v>
      </c>
    </row>
    <row r="100" spans="1:11" x14ac:dyDescent="0.25">
      <c r="A100" t="s">
        <v>220</v>
      </c>
      <c r="B100" s="2">
        <v>45942</v>
      </c>
      <c r="C100" t="s">
        <v>25</v>
      </c>
      <c r="D100" t="s">
        <v>37</v>
      </c>
      <c r="E100" t="s">
        <v>41</v>
      </c>
      <c r="F100">
        <v>179359.66</v>
      </c>
      <c r="G100" t="s">
        <v>28</v>
      </c>
      <c r="H100" t="s">
        <v>16</v>
      </c>
      <c r="I100" t="s">
        <v>17</v>
      </c>
      <c r="J100" t="s">
        <v>221</v>
      </c>
      <c r="K100" t="s">
        <v>18</v>
      </c>
    </row>
    <row r="101" spans="1:11" x14ac:dyDescent="0.25">
      <c r="A101" t="s">
        <v>222</v>
      </c>
      <c r="B101" s="2">
        <v>45476</v>
      </c>
      <c r="C101" t="s">
        <v>20</v>
      </c>
      <c r="D101" t="s">
        <v>46</v>
      </c>
      <c r="E101" t="s">
        <v>156</v>
      </c>
      <c r="G101" t="s">
        <v>28</v>
      </c>
      <c r="H101" t="s">
        <v>16</v>
      </c>
      <c r="I101" t="s">
        <v>17</v>
      </c>
      <c r="J101" t="s">
        <v>223</v>
      </c>
      <c r="K101" t="s">
        <v>18</v>
      </c>
    </row>
    <row r="102" spans="1:11" x14ac:dyDescent="0.25">
      <c r="A102" t="s">
        <v>224</v>
      </c>
      <c r="B102" s="2">
        <v>45335</v>
      </c>
      <c r="C102" t="s">
        <v>59</v>
      </c>
      <c r="D102" t="s">
        <v>37</v>
      </c>
      <c r="E102" t="s">
        <v>41</v>
      </c>
      <c r="F102">
        <v>14135.02</v>
      </c>
      <c r="G102" t="s">
        <v>15</v>
      </c>
      <c r="H102" t="s">
        <v>16</v>
      </c>
      <c r="I102" t="s">
        <v>17</v>
      </c>
      <c r="J102" t="s">
        <v>225</v>
      </c>
      <c r="K102" t="s">
        <v>18</v>
      </c>
    </row>
    <row r="103" spans="1:11" x14ac:dyDescent="0.25">
      <c r="A103" t="s">
        <v>226</v>
      </c>
      <c r="B103" s="2">
        <v>45649</v>
      </c>
      <c r="C103" t="s">
        <v>12</v>
      </c>
      <c r="D103" t="s">
        <v>21</v>
      </c>
      <c r="E103" t="s">
        <v>22</v>
      </c>
      <c r="F103">
        <v>15072.07</v>
      </c>
      <c r="G103" t="s">
        <v>28</v>
      </c>
      <c r="H103" t="s">
        <v>16</v>
      </c>
      <c r="I103" t="s">
        <v>17</v>
      </c>
      <c r="J103" t="s">
        <v>227</v>
      </c>
      <c r="K103" t="s">
        <v>18</v>
      </c>
    </row>
    <row r="104" spans="1:11" x14ac:dyDescent="0.25">
      <c r="A104" t="s">
        <v>228</v>
      </c>
      <c r="B104" s="2">
        <v>45347</v>
      </c>
      <c r="C104" t="s">
        <v>12</v>
      </c>
      <c r="D104" t="s">
        <v>64</v>
      </c>
      <c r="E104" t="s">
        <v>41</v>
      </c>
      <c r="F104">
        <v>197858.25</v>
      </c>
      <c r="G104" t="s">
        <v>15</v>
      </c>
      <c r="H104" t="s">
        <v>16</v>
      </c>
      <c r="I104" t="s">
        <v>17</v>
      </c>
      <c r="J104" t="s">
        <v>229</v>
      </c>
      <c r="K104" t="s">
        <v>18</v>
      </c>
    </row>
    <row r="105" spans="1:11" x14ac:dyDescent="0.25">
      <c r="A105" t="s">
        <v>230</v>
      </c>
      <c r="B105" s="2">
        <v>45273</v>
      </c>
      <c r="C105" t="s">
        <v>12</v>
      </c>
      <c r="D105" t="s">
        <v>37</v>
      </c>
      <c r="E105" t="s">
        <v>140</v>
      </c>
      <c r="F105">
        <v>27156.99</v>
      </c>
      <c r="G105" t="s">
        <v>15</v>
      </c>
      <c r="H105" t="s">
        <v>16</v>
      </c>
      <c r="I105" t="s">
        <v>17</v>
      </c>
      <c r="J105" t="s">
        <v>231</v>
      </c>
      <c r="K105" t="s">
        <v>30</v>
      </c>
    </row>
    <row r="106" spans="1:11" x14ac:dyDescent="0.25">
      <c r="A106" t="s">
        <v>232</v>
      </c>
      <c r="B106" s="2">
        <v>45621</v>
      </c>
      <c r="C106" t="s">
        <v>20</v>
      </c>
      <c r="D106" t="s">
        <v>60</v>
      </c>
      <c r="E106" t="s">
        <v>41</v>
      </c>
      <c r="F106">
        <v>267476.75</v>
      </c>
      <c r="G106" t="s">
        <v>38</v>
      </c>
      <c r="H106" t="s">
        <v>16</v>
      </c>
      <c r="I106" t="s">
        <v>17</v>
      </c>
      <c r="J106" t="s">
        <v>233</v>
      </c>
      <c r="K106" t="s">
        <v>30</v>
      </c>
    </row>
    <row r="107" spans="1:11" x14ac:dyDescent="0.25">
      <c r="A107" t="s">
        <v>234</v>
      </c>
      <c r="B107" s="2">
        <v>45666</v>
      </c>
      <c r="C107" t="s">
        <v>25</v>
      </c>
      <c r="D107" t="s">
        <v>21</v>
      </c>
      <c r="E107" t="s">
        <v>27</v>
      </c>
      <c r="F107">
        <v>93324.05</v>
      </c>
      <c r="G107" t="s">
        <v>38</v>
      </c>
      <c r="H107" t="s">
        <v>16</v>
      </c>
      <c r="I107" t="s">
        <v>17</v>
      </c>
      <c r="K107" t="s">
        <v>18</v>
      </c>
    </row>
    <row r="108" spans="1:11" x14ac:dyDescent="0.25">
      <c r="A108" t="s">
        <v>235</v>
      </c>
      <c r="B108" s="2">
        <v>45973</v>
      </c>
      <c r="C108" t="s">
        <v>25</v>
      </c>
      <c r="D108" t="s">
        <v>64</v>
      </c>
      <c r="E108" t="s">
        <v>22</v>
      </c>
      <c r="F108">
        <v>249802.38</v>
      </c>
      <c r="G108" t="s">
        <v>38</v>
      </c>
      <c r="H108" t="s">
        <v>34</v>
      </c>
      <c r="I108" t="s">
        <v>17</v>
      </c>
      <c r="J108" t="s">
        <v>236</v>
      </c>
      <c r="K108" t="s">
        <v>18</v>
      </c>
    </row>
    <row r="109" spans="1:11" x14ac:dyDescent="0.25">
      <c r="A109" t="s">
        <v>237</v>
      </c>
      <c r="B109" s="2">
        <v>45847</v>
      </c>
      <c r="C109" t="s">
        <v>12</v>
      </c>
      <c r="D109" t="s">
        <v>60</v>
      </c>
      <c r="E109" t="s">
        <v>44</v>
      </c>
      <c r="F109">
        <v>56137.66</v>
      </c>
      <c r="G109" t="s">
        <v>28</v>
      </c>
      <c r="H109" t="s">
        <v>16</v>
      </c>
      <c r="I109" t="s">
        <v>17</v>
      </c>
      <c r="J109" t="s">
        <v>238</v>
      </c>
      <c r="K109" t="s">
        <v>30</v>
      </c>
    </row>
    <row r="110" spans="1:11" x14ac:dyDescent="0.25">
      <c r="A110" t="s">
        <v>239</v>
      </c>
      <c r="B110" s="2">
        <v>45629</v>
      </c>
      <c r="C110" t="s">
        <v>73</v>
      </c>
      <c r="D110" t="s">
        <v>21</v>
      </c>
      <c r="E110" t="s">
        <v>22</v>
      </c>
      <c r="F110">
        <v>169417.09</v>
      </c>
      <c r="G110" t="s">
        <v>38</v>
      </c>
      <c r="H110" t="s">
        <v>16</v>
      </c>
      <c r="I110" t="s">
        <v>17</v>
      </c>
      <c r="J110" t="s">
        <v>240</v>
      </c>
      <c r="K110" t="s">
        <v>18</v>
      </c>
    </row>
    <row r="111" spans="1:11" x14ac:dyDescent="0.25">
      <c r="A111" t="s">
        <v>241</v>
      </c>
      <c r="B111" s="2">
        <v>45624</v>
      </c>
      <c r="C111" t="s">
        <v>12</v>
      </c>
      <c r="D111" t="s">
        <v>13</v>
      </c>
      <c r="E111" t="s">
        <v>14</v>
      </c>
      <c r="F111">
        <v>171774.02</v>
      </c>
      <c r="G111" t="s">
        <v>15</v>
      </c>
      <c r="H111" t="s">
        <v>16</v>
      </c>
      <c r="I111" t="s">
        <v>17</v>
      </c>
      <c r="J111" t="s">
        <v>242</v>
      </c>
      <c r="K111" t="s">
        <v>18</v>
      </c>
    </row>
    <row r="112" spans="1:11" x14ac:dyDescent="0.25">
      <c r="A112" t="s">
        <v>243</v>
      </c>
      <c r="B112" s="2">
        <v>45581</v>
      </c>
      <c r="C112" t="s">
        <v>12</v>
      </c>
      <c r="D112" t="s">
        <v>37</v>
      </c>
      <c r="E112" t="s">
        <v>41</v>
      </c>
      <c r="F112">
        <v>149130.62</v>
      </c>
      <c r="G112" t="s">
        <v>15</v>
      </c>
      <c r="H112" t="s">
        <v>16</v>
      </c>
      <c r="I112" t="s">
        <v>17</v>
      </c>
      <c r="J112" t="s">
        <v>244</v>
      </c>
      <c r="K112" t="s">
        <v>18</v>
      </c>
    </row>
    <row r="113" spans="1:11" x14ac:dyDescent="0.25">
      <c r="A113" t="s">
        <v>245</v>
      </c>
      <c r="B113" s="2">
        <v>45773</v>
      </c>
      <c r="C113" t="s">
        <v>20</v>
      </c>
      <c r="D113" t="s">
        <v>64</v>
      </c>
      <c r="E113" t="s">
        <v>41</v>
      </c>
      <c r="F113">
        <v>160545</v>
      </c>
      <c r="G113" t="s">
        <v>28</v>
      </c>
      <c r="H113" t="s">
        <v>34</v>
      </c>
      <c r="I113" t="s">
        <v>17</v>
      </c>
      <c r="J113" t="s">
        <v>114</v>
      </c>
      <c r="K113" t="s">
        <v>18</v>
      </c>
    </row>
    <row r="114" spans="1:11" x14ac:dyDescent="0.25">
      <c r="A114" t="s">
        <v>246</v>
      </c>
      <c r="B114" s="2">
        <v>45896</v>
      </c>
      <c r="C114" t="s">
        <v>12</v>
      </c>
      <c r="D114" t="s">
        <v>64</v>
      </c>
      <c r="E114" t="s">
        <v>44</v>
      </c>
      <c r="F114">
        <v>90230.32</v>
      </c>
      <c r="G114" t="s">
        <v>38</v>
      </c>
      <c r="H114" t="s">
        <v>16</v>
      </c>
      <c r="I114" t="s">
        <v>17</v>
      </c>
      <c r="J114" t="s">
        <v>247</v>
      </c>
      <c r="K114" t="s">
        <v>18</v>
      </c>
    </row>
    <row r="115" spans="1:11" x14ac:dyDescent="0.25">
      <c r="A115" t="s">
        <v>248</v>
      </c>
      <c r="B115" s="2">
        <v>45000</v>
      </c>
      <c r="C115" t="s">
        <v>25</v>
      </c>
      <c r="D115" t="s">
        <v>37</v>
      </c>
      <c r="E115" t="s">
        <v>27</v>
      </c>
      <c r="F115">
        <v>45513.71</v>
      </c>
      <c r="G115" t="s">
        <v>38</v>
      </c>
      <c r="H115" t="s">
        <v>34</v>
      </c>
      <c r="I115" t="s">
        <v>17</v>
      </c>
      <c r="J115" t="s">
        <v>249</v>
      </c>
      <c r="K115" t="s">
        <v>18</v>
      </c>
    </row>
    <row r="116" spans="1:11" x14ac:dyDescent="0.25">
      <c r="A116" t="s">
        <v>250</v>
      </c>
      <c r="B116" s="2">
        <v>45196</v>
      </c>
      <c r="C116" t="s">
        <v>12</v>
      </c>
      <c r="D116" t="s">
        <v>46</v>
      </c>
      <c r="E116" t="s">
        <v>41</v>
      </c>
      <c r="F116">
        <v>74666.850000000006</v>
      </c>
      <c r="G116" t="s">
        <v>28</v>
      </c>
      <c r="H116" t="s">
        <v>16</v>
      </c>
      <c r="I116" t="s">
        <v>17</v>
      </c>
      <c r="J116" t="s">
        <v>251</v>
      </c>
      <c r="K116" t="s">
        <v>18</v>
      </c>
    </row>
    <row r="117" spans="1:11" x14ac:dyDescent="0.25">
      <c r="A117" t="s">
        <v>252</v>
      </c>
      <c r="B117" s="2">
        <v>45171</v>
      </c>
      <c r="C117" t="s">
        <v>20</v>
      </c>
      <c r="D117" t="s">
        <v>46</v>
      </c>
      <c r="E117" t="s">
        <v>53</v>
      </c>
      <c r="F117">
        <v>137244.72</v>
      </c>
      <c r="G117" t="s">
        <v>28</v>
      </c>
      <c r="H117" t="s">
        <v>34</v>
      </c>
      <c r="I117" t="s">
        <v>17</v>
      </c>
      <c r="J117" t="s">
        <v>253</v>
      </c>
      <c r="K117" t="s">
        <v>30</v>
      </c>
    </row>
    <row r="118" spans="1:11" x14ac:dyDescent="0.25">
      <c r="A118" t="s">
        <v>40</v>
      </c>
      <c r="B118" s="2">
        <v>45106</v>
      </c>
      <c r="C118" t="s">
        <v>20</v>
      </c>
      <c r="D118" t="s">
        <v>21</v>
      </c>
      <c r="E118" t="s">
        <v>41</v>
      </c>
      <c r="F118">
        <v>150660.18</v>
      </c>
      <c r="G118" t="s">
        <v>38</v>
      </c>
      <c r="H118" t="s">
        <v>16</v>
      </c>
      <c r="I118" t="s">
        <v>17</v>
      </c>
      <c r="J118" t="s">
        <v>254</v>
      </c>
      <c r="K118" t="s">
        <v>18</v>
      </c>
    </row>
    <row r="119" spans="1:11" x14ac:dyDescent="0.25">
      <c r="A119" t="s">
        <v>255</v>
      </c>
      <c r="B119" s="2">
        <v>45959</v>
      </c>
      <c r="C119" t="s">
        <v>20</v>
      </c>
      <c r="D119" t="s">
        <v>37</v>
      </c>
      <c r="E119" t="s">
        <v>22</v>
      </c>
      <c r="F119">
        <v>151819.98000000001</v>
      </c>
      <c r="G119" t="s">
        <v>28</v>
      </c>
      <c r="H119" t="s">
        <v>16</v>
      </c>
      <c r="I119" t="s">
        <v>17</v>
      </c>
      <c r="J119" t="s">
        <v>256</v>
      </c>
      <c r="K119" t="s">
        <v>30</v>
      </c>
    </row>
    <row r="120" spans="1:11" x14ac:dyDescent="0.25">
      <c r="A120" t="s">
        <v>257</v>
      </c>
      <c r="B120" s="2">
        <v>45867</v>
      </c>
      <c r="C120" t="s">
        <v>73</v>
      </c>
      <c r="D120" t="s">
        <v>64</v>
      </c>
      <c r="E120" t="s">
        <v>41</v>
      </c>
      <c r="F120">
        <v>253026.87</v>
      </c>
      <c r="G120" t="s">
        <v>28</v>
      </c>
      <c r="H120" t="s">
        <v>16</v>
      </c>
      <c r="I120" t="s">
        <v>17</v>
      </c>
      <c r="J120" t="s">
        <v>258</v>
      </c>
      <c r="K120" t="s">
        <v>30</v>
      </c>
    </row>
    <row r="121" spans="1:11" x14ac:dyDescent="0.25">
      <c r="A121" t="s">
        <v>259</v>
      </c>
      <c r="B121" s="2">
        <v>45173</v>
      </c>
      <c r="C121" t="s">
        <v>12</v>
      </c>
      <c r="D121" t="s">
        <v>21</v>
      </c>
      <c r="E121" t="s">
        <v>44</v>
      </c>
      <c r="F121">
        <v>49594.46</v>
      </c>
      <c r="G121" t="s">
        <v>28</v>
      </c>
      <c r="H121" t="s">
        <v>16</v>
      </c>
      <c r="I121" t="s">
        <v>17</v>
      </c>
      <c r="K121" t="s">
        <v>18</v>
      </c>
    </row>
    <row r="122" spans="1:11" x14ac:dyDescent="0.25">
      <c r="A122" t="s">
        <v>260</v>
      </c>
      <c r="B122" s="2">
        <v>45692</v>
      </c>
      <c r="C122" t="s">
        <v>73</v>
      </c>
      <c r="D122" t="s">
        <v>37</v>
      </c>
      <c r="E122" t="s">
        <v>41</v>
      </c>
      <c r="F122">
        <v>186526.16</v>
      </c>
      <c r="G122" t="s">
        <v>38</v>
      </c>
      <c r="H122" t="s">
        <v>16</v>
      </c>
      <c r="I122" t="s">
        <v>17</v>
      </c>
      <c r="J122" t="s">
        <v>261</v>
      </c>
      <c r="K122" t="s">
        <v>18</v>
      </c>
    </row>
    <row r="123" spans="1:11" x14ac:dyDescent="0.25">
      <c r="A123" t="s">
        <v>262</v>
      </c>
      <c r="B123" s="2">
        <v>45009</v>
      </c>
      <c r="C123" t="s">
        <v>20</v>
      </c>
      <c r="D123" t="s">
        <v>64</v>
      </c>
      <c r="E123" t="s">
        <v>44</v>
      </c>
      <c r="F123">
        <v>20967.64</v>
      </c>
      <c r="G123" t="s">
        <v>15</v>
      </c>
      <c r="H123" t="s">
        <v>16</v>
      </c>
      <c r="I123" t="s">
        <v>17</v>
      </c>
      <c r="J123" t="s">
        <v>263</v>
      </c>
      <c r="K123" t="s">
        <v>18</v>
      </c>
    </row>
    <row r="124" spans="1:11" x14ac:dyDescent="0.25">
      <c r="A124" t="s">
        <v>264</v>
      </c>
      <c r="B124" s="2">
        <v>45130</v>
      </c>
      <c r="C124" t="s">
        <v>20</v>
      </c>
      <c r="D124" t="s">
        <v>21</v>
      </c>
      <c r="E124" t="s">
        <v>41</v>
      </c>
      <c r="F124">
        <v>273161.63</v>
      </c>
      <c r="G124" t="s">
        <v>15</v>
      </c>
      <c r="H124" t="s">
        <v>16</v>
      </c>
      <c r="I124" t="s">
        <v>17</v>
      </c>
      <c r="J124" t="s">
        <v>265</v>
      </c>
      <c r="K124" t="s">
        <v>18</v>
      </c>
    </row>
    <row r="125" spans="1:11" x14ac:dyDescent="0.25">
      <c r="A125" t="s">
        <v>266</v>
      </c>
      <c r="B125" s="2">
        <v>45885</v>
      </c>
      <c r="C125" t="s">
        <v>73</v>
      </c>
      <c r="D125" t="s">
        <v>21</v>
      </c>
      <c r="E125" t="s">
        <v>27</v>
      </c>
      <c r="F125">
        <v>225861.79</v>
      </c>
      <c r="G125" t="s">
        <v>15</v>
      </c>
      <c r="H125" t="s">
        <v>16</v>
      </c>
      <c r="I125" t="s">
        <v>17</v>
      </c>
      <c r="J125" t="s">
        <v>267</v>
      </c>
      <c r="K125" t="s">
        <v>30</v>
      </c>
    </row>
    <row r="126" spans="1:11" x14ac:dyDescent="0.25">
      <c r="A126" t="s">
        <v>268</v>
      </c>
      <c r="B126" s="2">
        <v>45941</v>
      </c>
      <c r="C126" t="s">
        <v>12</v>
      </c>
      <c r="D126" t="s">
        <v>46</v>
      </c>
      <c r="E126" t="s">
        <v>41</v>
      </c>
      <c r="F126">
        <v>8274</v>
      </c>
      <c r="G126" t="s">
        <v>15</v>
      </c>
      <c r="H126" t="s">
        <v>16</v>
      </c>
      <c r="I126" t="s">
        <v>17</v>
      </c>
      <c r="K126" t="s">
        <v>18</v>
      </c>
    </row>
    <row r="127" spans="1:11" x14ac:dyDescent="0.25">
      <c r="A127" t="s">
        <v>269</v>
      </c>
      <c r="B127" s="2">
        <v>45428</v>
      </c>
      <c r="C127" t="s">
        <v>20</v>
      </c>
      <c r="D127" t="s">
        <v>26</v>
      </c>
      <c r="E127" t="s">
        <v>41</v>
      </c>
      <c r="F127">
        <v>68236.41</v>
      </c>
      <c r="G127" t="s">
        <v>15</v>
      </c>
      <c r="H127" t="s">
        <v>16</v>
      </c>
      <c r="I127" t="s">
        <v>17</v>
      </c>
      <c r="K127" t="s">
        <v>18</v>
      </c>
    </row>
    <row r="128" spans="1:11" x14ac:dyDescent="0.25">
      <c r="A128" t="s">
        <v>270</v>
      </c>
      <c r="B128" s="2">
        <v>45144</v>
      </c>
      <c r="C128" t="s">
        <v>12</v>
      </c>
      <c r="D128" t="s">
        <v>60</v>
      </c>
      <c r="E128" t="s">
        <v>44</v>
      </c>
      <c r="F128">
        <v>212185.31</v>
      </c>
      <c r="G128" t="s">
        <v>38</v>
      </c>
      <c r="H128" t="s">
        <v>16</v>
      </c>
      <c r="I128" t="s">
        <v>17</v>
      </c>
      <c r="J128" t="s">
        <v>271</v>
      </c>
      <c r="K128" t="s">
        <v>30</v>
      </c>
    </row>
    <row r="129" spans="1:11" x14ac:dyDescent="0.25">
      <c r="A129" t="s">
        <v>40</v>
      </c>
      <c r="B129" s="2">
        <v>45961</v>
      </c>
      <c r="C129" t="s">
        <v>25</v>
      </c>
      <c r="D129" t="s">
        <v>26</v>
      </c>
      <c r="E129" t="s">
        <v>41</v>
      </c>
      <c r="F129">
        <v>89353.66</v>
      </c>
      <c r="G129" t="s">
        <v>28</v>
      </c>
      <c r="H129" t="s">
        <v>16</v>
      </c>
      <c r="I129" t="s">
        <v>17</v>
      </c>
      <c r="J129" t="s">
        <v>272</v>
      </c>
      <c r="K129" t="s">
        <v>18</v>
      </c>
    </row>
    <row r="130" spans="1:11" x14ac:dyDescent="0.25">
      <c r="A130" t="s">
        <v>273</v>
      </c>
      <c r="B130" s="2">
        <v>45188</v>
      </c>
      <c r="C130" t="s">
        <v>25</v>
      </c>
      <c r="D130" t="s">
        <v>60</v>
      </c>
      <c r="E130" t="s">
        <v>41</v>
      </c>
      <c r="F130">
        <v>206468.63</v>
      </c>
      <c r="G130" t="s">
        <v>38</v>
      </c>
      <c r="H130" t="s">
        <v>16</v>
      </c>
      <c r="I130" t="s">
        <v>17</v>
      </c>
      <c r="K130" t="s">
        <v>18</v>
      </c>
    </row>
    <row r="131" spans="1:11" x14ac:dyDescent="0.25">
      <c r="A131" t="s">
        <v>274</v>
      </c>
      <c r="B131" s="2">
        <v>45824</v>
      </c>
      <c r="C131" t="s">
        <v>12</v>
      </c>
      <c r="D131" t="s">
        <v>13</v>
      </c>
      <c r="E131" t="s">
        <v>22</v>
      </c>
      <c r="F131">
        <v>72557.25</v>
      </c>
      <c r="G131" t="s">
        <v>28</v>
      </c>
      <c r="H131" t="s">
        <v>16</v>
      </c>
      <c r="I131" t="s">
        <v>17</v>
      </c>
      <c r="J131" t="s">
        <v>275</v>
      </c>
      <c r="K131" t="s">
        <v>18</v>
      </c>
    </row>
    <row r="132" spans="1:11" x14ac:dyDescent="0.25">
      <c r="A132" t="s">
        <v>276</v>
      </c>
      <c r="B132" s="2">
        <v>45918</v>
      </c>
      <c r="C132" t="s">
        <v>20</v>
      </c>
      <c r="D132" t="s">
        <v>64</v>
      </c>
      <c r="E132" t="s">
        <v>53</v>
      </c>
      <c r="F132">
        <v>222602.21</v>
      </c>
      <c r="G132" t="s">
        <v>15</v>
      </c>
      <c r="H132" t="s">
        <v>16</v>
      </c>
      <c r="I132" t="s">
        <v>17</v>
      </c>
      <c r="J132" t="s">
        <v>277</v>
      </c>
      <c r="K132" t="s">
        <v>30</v>
      </c>
    </row>
    <row r="133" spans="1:11" x14ac:dyDescent="0.25">
      <c r="A133" t="s">
        <v>278</v>
      </c>
      <c r="B133" s="2">
        <v>45594</v>
      </c>
      <c r="C133" t="s">
        <v>73</v>
      </c>
      <c r="D133" t="s">
        <v>21</v>
      </c>
      <c r="E133" t="s">
        <v>44</v>
      </c>
      <c r="F133">
        <v>169006.94</v>
      </c>
      <c r="G133" t="s">
        <v>38</v>
      </c>
      <c r="H133" t="s">
        <v>16</v>
      </c>
      <c r="I133" t="s">
        <v>17</v>
      </c>
      <c r="J133" t="s">
        <v>279</v>
      </c>
      <c r="K133" t="s">
        <v>18</v>
      </c>
    </row>
    <row r="134" spans="1:11" x14ac:dyDescent="0.25">
      <c r="A134" t="s">
        <v>280</v>
      </c>
      <c r="B134" s="2">
        <v>45765</v>
      </c>
      <c r="C134" t="s">
        <v>73</v>
      </c>
      <c r="D134" t="s">
        <v>26</v>
      </c>
      <c r="E134" t="s">
        <v>27</v>
      </c>
      <c r="F134">
        <v>20668.41</v>
      </c>
      <c r="G134" t="s">
        <v>28</v>
      </c>
      <c r="H134" t="s">
        <v>16</v>
      </c>
      <c r="I134" t="s">
        <v>17</v>
      </c>
      <c r="K134" t="s">
        <v>18</v>
      </c>
    </row>
    <row r="135" spans="1:11" x14ac:dyDescent="0.25">
      <c r="A135" t="s">
        <v>281</v>
      </c>
      <c r="B135" s="2">
        <v>45131</v>
      </c>
      <c r="C135" t="s">
        <v>20</v>
      </c>
      <c r="D135" t="s">
        <v>46</v>
      </c>
      <c r="E135" t="s">
        <v>27</v>
      </c>
      <c r="F135">
        <v>182877.75</v>
      </c>
      <c r="G135" t="s">
        <v>15</v>
      </c>
      <c r="H135" t="s">
        <v>34</v>
      </c>
      <c r="I135" t="s">
        <v>17</v>
      </c>
      <c r="J135" t="s">
        <v>282</v>
      </c>
      <c r="K135" t="s">
        <v>18</v>
      </c>
    </row>
    <row r="136" spans="1:11" x14ac:dyDescent="0.25">
      <c r="A136" t="s">
        <v>283</v>
      </c>
      <c r="B136" s="2">
        <v>45427</v>
      </c>
      <c r="C136" t="s">
        <v>25</v>
      </c>
      <c r="D136" t="s">
        <v>60</v>
      </c>
      <c r="E136" t="s">
        <v>27</v>
      </c>
      <c r="G136" t="s">
        <v>38</v>
      </c>
      <c r="H136" t="s">
        <v>16</v>
      </c>
      <c r="I136" t="s">
        <v>17</v>
      </c>
      <c r="J136" t="s">
        <v>284</v>
      </c>
      <c r="K136" t="s">
        <v>18</v>
      </c>
    </row>
    <row r="137" spans="1:11" x14ac:dyDescent="0.25">
      <c r="A137" t="s">
        <v>285</v>
      </c>
      <c r="B137" s="2">
        <v>45396</v>
      </c>
      <c r="C137" t="s">
        <v>73</v>
      </c>
      <c r="D137" t="s">
        <v>26</v>
      </c>
      <c r="E137" t="s">
        <v>27</v>
      </c>
      <c r="F137">
        <v>40000.58</v>
      </c>
      <c r="G137" t="s">
        <v>15</v>
      </c>
      <c r="H137" t="s">
        <v>16</v>
      </c>
      <c r="I137" t="s">
        <v>17</v>
      </c>
      <c r="J137" t="s">
        <v>286</v>
      </c>
      <c r="K137" t="s">
        <v>18</v>
      </c>
    </row>
    <row r="138" spans="1:11" x14ac:dyDescent="0.25">
      <c r="A138" t="s">
        <v>287</v>
      </c>
      <c r="B138" s="2">
        <v>45765</v>
      </c>
      <c r="C138" t="s">
        <v>12</v>
      </c>
      <c r="D138" t="s">
        <v>60</v>
      </c>
      <c r="E138" t="s">
        <v>22</v>
      </c>
      <c r="F138">
        <v>223530.88</v>
      </c>
      <c r="G138" t="s">
        <v>15</v>
      </c>
      <c r="H138" t="s">
        <v>34</v>
      </c>
      <c r="I138" t="s">
        <v>17</v>
      </c>
      <c r="J138" t="s">
        <v>288</v>
      </c>
      <c r="K138" t="s">
        <v>18</v>
      </c>
    </row>
    <row r="139" spans="1:11" x14ac:dyDescent="0.25">
      <c r="A139" t="s">
        <v>289</v>
      </c>
      <c r="B139" s="2">
        <v>44996</v>
      </c>
      <c r="C139" t="s">
        <v>12</v>
      </c>
      <c r="D139" t="s">
        <v>46</v>
      </c>
      <c r="E139" t="s">
        <v>22</v>
      </c>
      <c r="F139">
        <v>169563.74</v>
      </c>
      <c r="G139" t="s">
        <v>28</v>
      </c>
      <c r="H139" t="s">
        <v>16</v>
      </c>
      <c r="I139" t="s">
        <v>17</v>
      </c>
      <c r="K139" t="s">
        <v>18</v>
      </c>
    </row>
    <row r="140" spans="1:11" x14ac:dyDescent="0.25">
      <c r="A140" t="s">
        <v>290</v>
      </c>
      <c r="B140" s="2">
        <v>45156</v>
      </c>
      <c r="C140" t="s">
        <v>20</v>
      </c>
      <c r="D140" t="s">
        <v>64</v>
      </c>
      <c r="E140" t="s">
        <v>14</v>
      </c>
      <c r="F140">
        <v>236103.89</v>
      </c>
      <c r="G140" t="s">
        <v>28</v>
      </c>
      <c r="H140" t="s">
        <v>16</v>
      </c>
      <c r="I140" t="s">
        <v>17</v>
      </c>
      <c r="K140" t="s">
        <v>18</v>
      </c>
    </row>
    <row r="141" spans="1:11" x14ac:dyDescent="0.25">
      <c r="A141" t="s">
        <v>291</v>
      </c>
      <c r="B141" s="2">
        <v>44951</v>
      </c>
      <c r="C141" t="s">
        <v>25</v>
      </c>
      <c r="D141" t="s">
        <v>37</v>
      </c>
      <c r="E141" t="s">
        <v>22</v>
      </c>
      <c r="F141">
        <v>78418.81</v>
      </c>
      <c r="G141" t="s">
        <v>15</v>
      </c>
      <c r="H141" t="s">
        <v>16</v>
      </c>
      <c r="I141" t="s">
        <v>17</v>
      </c>
      <c r="J141" t="s">
        <v>292</v>
      </c>
      <c r="K141" t="s">
        <v>30</v>
      </c>
    </row>
    <row r="142" spans="1:11" x14ac:dyDescent="0.25">
      <c r="A142" t="s">
        <v>293</v>
      </c>
      <c r="B142" s="2">
        <v>45429</v>
      </c>
      <c r="C142" t="s">
        <v>25</v>
      </c>
      <c r="D142" t="s">
        <v>64</v>
      </c>
      <c r="E142" t="s">
        <v>44</v>
      </c>
      <c r="F142">
        <v>25716.98</v>
      </c>
      <c r="G142" t="s">
        <v>38</v>
      </c>
      <c r="H142" t="s">
        <v>16</v>
      </c>
      <c r="I142" t="s">
        <v>17</v>
      </c>
      <c r="J142" t="s">
        <v>294</v>
      </c>
      <c r="K142" t="s">
        <v>18</v>
      </c>
    </row>
    <row r="143" spans="1:11" x14ac:dyDescent="0.25">
      <c r="A143" t="s">
        <v>295</v>
      </c>
      <c r="B143" s="2">
        <v>45476</v>
      </c>
      <c r="C143" t="s">
        <v>20</v>
      </c>
      <c r="D143" t="s">
        <v>37</v>
      </c>
      <c r="E143" t="s">
        <v>14</v>
      </c>
      <c r="F143">
        <v>39170.199999999997</v>
      </c>
      <c r="G143" t="s">
        <v>28</v>
      </c>
      <c r="H143" t="s">
        <v>16</v>
      </c>
      <c r="I143" t="s">
        <v>17</v>
      </c>
      <c r="J143" t="s">
        <v>296</v>
      </c>
      <c r="K143" t="s">
        <v>18</v>
      </c>
    </row>
    <row r="144" spans="1:11" x14ac:dyDescent="0.25">
      <c r="A144" t="s">
        <v>297</v>
      </c>
      <c r="B144" s="2">
        <v>45129</v>
      </c>
      <c r="C144" t="s">
        <v>12</v>
      </c>
      <c r="D144" t="s">
        <v>21</v>
      </c>
      <c r="E144" t="s">
        <v>41</v>
      </c>
      <c r="F144">
        <v>95400.9</v>
      </c>
      <c r="G144" t="s">
        <v>15</v>
      </c>
      <c r="H144" t="s">
        <v>16</v>
      </c>
      <c r="I144" t="s">
        <v>17</v>
      </c>
      <c r="J144" t="s">
        <v>298</v>
      </c>
      <c r="K144" t="s">
        <v>18</v>
      </c>
    </row>
    <row r="145" spans="1:11" x14ac:dyDescent="0.25">
      <c r="A145" t="s">
        <v>299</v>
      </c>
      <c r="B145" s="2">
        <v>45189</v>
      </c>
      <c r="C145" t="s">
        <v>25</v>
      </c>
      <c r="D145" t="s">
        <v>13</v>
      </c>
      <c r="E145" t="s">
        <v>41</v>
      </c>
      <c r="F145">
        <v>181159.47</v>
      </c>
      <c r="G145" t="s">
        <v>28</v>
      </c>
      <c r="H145" t="s">
        <v>16</v>
      </c>
      <c r="I145" t="s">
        <v>17</v>
      </c>
      <c r="K145" t="s">
        <v>18</v>
      </c>
    </row>
    <row r="146" spans="1:11" x14ac:dyDescent="0.25">
      <c r="A146" t="s">
        <v>300</v>
      </c>
      <c r="B146" s="2">
        <v>45434</v>
      </c>
      <c r="C146" t="s">
        <v>20</v>
      </c>
      <c r="D146" t="s">
        <v>60</v>
      </c>
      <c r="E146" t="s">
        <v>41</v>
      </c>
      <c r="F146">
        <v>112971.7</v>
      </c>
      <c r="G146" t="s">
        <v>38</v>
      </c>
      <c r="H146" t="s">
        <v>16</v>
      </c>
      <c r="I146" t="s">
        <v>17</v>
      </c>
      <c r="J146" t="s">
        <v>301</v>
      </c>
      <c r="K146" t="s">
        <v>18</v>
      </c>
    </row>
    <row r="147" spans="1:11" x14ac:dyDescent="0.25">
      <c r="A147" t="s">
        <v>302</v>
      </c>
      <c r="B147" s="2">
        <v>45483</v>
      </c>
      <c r="C147" t="s">
        <v>25</v>
      </c>
      <c r="D147" t="s">
        <v>37</v>
      </c>
      <c r="E147" t="s">
        <v>22</v>
      </c>
      <c r="F147">
        <v>12529.06</v>
      </c>
      <c r="G147" t="s">
        <v>38</v>
      </c>
      <c r="H147" t="s">
        <v>16</v>
      </c>
      <c r="I147" t="s">
        <v>17</v>
      </c>
      <c r="K147" t="s">
        <v>18</v>
      </c>
    </row>
    <row r="148" spans="1:11" x14ac:dyDescent="0.25">
      <c r="A148" t="s">
        <v>303</v>
      </c>
      <c r="B148" s="2">
        <v>44982</v>
      </c>
      <c r="C148" t="s">
        <v>20</v>
      </c>
      <c r="D148" t="s">
        <v>37</v>
      </c>
      <c r="E148" t="s">
        <v>41</v>
      </c>
      <c r="F148">
        <v>261308.64</v>
      </c>
      <c r="G148" t="s">
        <v>28</v>
      </c>
      <c r="H148" t="s">
        <v>16</v>
      </c>
      <c r="I148" t="s">
        <v>17</v>
      </c>
      <c r="J148" t="s">
        <v>304</v>
      </c>
      <c r="K148" t="s">
        <v>30</v>
      </c>
    </row>
    <row r="149" spans="1:11" x14ac:dyDescent="0.25">
      <c r="A149" t="s">
        <v>305</v>
      </c>
      <c r="B149" s="2">
        <v>45199</v>
      </c>
      <c r="C149" t="s">
        <v>12</v>
      </c>
      <c r="D149" t="s">
        <v>26</v>
      </c>
      <c r="E149" t="s">
        <v>41</v>
      </c>
      <c r="F149">
        <v>175134.07</v>
      </c>
      <c r="G149" t="s">
        <v>28</v>
      </c>
      <c r="H149" t="s">
        <v>16</v>
      </c>
      <c r="I149" t="s">
        <v>17</v>
      </c>
      <c r="J149" t="s">
        <v>306</v>
      </c>
      <c r="K149" t="s">
        <v>18</v>
      </c>
    </row>
    <row r="150" spans="1:11" x14ac:dyDescent="0.25">
      <c r="A150" t="s">
        <v>307</v>
      </c>
      <c r="B150" s="2">
        <v>45568</v>
      </c>
      <c r="C150" t="s">
        <v>25</v>
      </c>
      <c r="D150" t="s">
        <v>26</v>
      </c>
      <c r="E150" t="s">
        <v>22</v>
      </c>
      <c r="F150">
        <v>213844.9</v>
      </c>
      <c r="G150" t="s">
        <v>28</v>
      </c>
      <c r="H150" t="s">
        <v>16</v>
      </c>
      <c r="I150" t="s">
        <v>17</v>
      </c>
      <c r="J150" t="s">
        <v>308</v>
      </c>
      <c r="K150" t="s">
        <v>18</v>
      </c>
    </row>
    <row r="151" spans="1:11" x14ac:dyDescent="0.25">
      <c r="A151" t="s">
        <v>309</v>
      </c>
      <c r="B151" s="2">
        <v>44950</v>
      </c>
      <c r="C151" t="s">
        <v>25</v>
      </c>
      <c r="D151" t="s">
        <v>60</v>
      </c>
      <c r="E151" t="s">
        <v>27</v>
      </c>
      <c r="F151">
        <v>108922.71</v>
      </c>
      <c r="G151" t="s">
        <v>28</v>
      </c>
      <c r="H151" t="s">
        <v>16</v>
      </c>
      <c r="I151" t="s">
        <v>17</v>
      </c>
      <c r="J151" t="s">
        <v>310</v>
      </c>
      <c r="K151" t="s">
        <v>30</v>
      </c>
    </row>
    <row r="152" spans="1:11" x14ac:dyDescent="0.25">
      <c r="A152" t="s">
        <v>311</v>
      </c>
      <c r="B152" s="2">
        <v>45198</v>
      </c>
      <c r="C152" t="s">
        <v>25</v>
      </c>
      <c r="D152" t="s">
        <v>37</v>
      </c>
      <c r="E152" t="s">
        <v>14</v>
      </c>
      <c r="F152">
        <v>87858.59</v>
      </c>
      <c r="G152" t="s">
        <v>28</v>
      </c>
      <c r="H152" t="s">
        <v>16</v>
      </c>
      <c r="I152" t="s">
        <v>17</v>
      </c>
      <c r="J152" t="s">
        <v>312</v>
      </c>
      <c r="K152" t="s">
        <v>18</v>
      </c>
    </row>
    <row r="153" spans="1:11" x14ac:dyDescent="0.25">
      <c r="A153" t="s">
        <v>313</v>
      </c>
      <c r="B153" s="2">
        <v>45541</v>
      </c>
      <c r="C153" t="s">
        <v>25</v>
      </c>
      <c r="D153" t="s">
        <v>21</v>
      </c>
      <c r="E153" t="s">
        <v>41</v>
      </c>
      <c r="F153">
        <v>183467.06</v>
      </c>
      <c r="G153" t="s">
        <v>28</v>
      </c>
      <c r="H153" t="s">
        <v>16</v>
      </c>
      <c r="I153" t="s">
        <v>17</v>
      </c>
      <c r="J153" t="s">
        <v>314</v>
      </c>
      <c r="K153" t="s">
        <v>30</v>
      </c>
    </row>
    <row r="154" spans="1:11" x14ac:dyDescent="0.25">
      <c r="A154" t="s">
        <v>315</v>
      </c>
      <c r="B154" s="2">
        <v>45966</v>
      </c>
      <c r="C154" t="s">
        <v>20</v>
      </c>
      <c r="D154" t="s">
        <v>37</v>
      </c>
      <c r="E154" t="s">
        <v>53</v>
      </c>
      <c r="F154">
        <v>48826.76</v>
      </c>
      <c r="G154" t="s">
        <v>28</v>
      </c>
      <c r="H154" t="s">
        <v>16</v>
      </c>
      <c r="I154" t="s">
        <v>17</v>
      </c>
      <c r="K154" t="s">
        <v>18</v>
      </c>
    </row>
    <row r="155" spans="1:11" x14ac:dyDescent="0.25">
      <c r="A155" t="s">
        <v>316</v>
      </c>
      <c r="B155" s="2">
        <v>44979</v>
      </c>
      <c r="C155" t="s">
        <v>20</v>
      </c>
      <c r="D155" t="s">
        <v>46</v>
      </c>
      <c r="E155" t="s">
        <v>44</v>
      </c>
      <c r="F155">
        <v>248652.34</v>
      </c>
      <c r="G155" t="s">
        <v>28</v>
      </c>
      <c r="H155" t="s">
        <v>16</v>
      </c>
      <c r="I155" t="s">
        <v>17</v>
      </c>
      <c r="J155" t="s">
        <v>317</v>
      </c>
      <c r="K155" t="s">
        <v>18</v>
      </c>
    </row>
    <row r="156" spans="1:11" x14ac:dyDescent="0.25">
      <c r="A156" t="s">
        <v>318</v>
      </c>
      <c r="B156" s="2">
        <v>45245</v>
      </c>
      <c r="C156" t="s">
        <v>20</v>
      </c>
      <c r="D156" t="s">
        <v>60</v>
      </c>
      <c r="E156" t="s">
        <v>22</v>
      </c>
      <c r="F156">
        <v>181477.6</v>
      </c>
      <c r="G156" t="s">
        <v>15</v>
      </c>
      <c r="H156" t="s">
        <v>16</v>
      </c>
      <c r="I156" t="s">
        <v>17</v>
      </c>
      <c r="K156" t="s">
        <v>30</v>
      </c>
    </row>
    <row r="157" spans="1:11" x14ac:dyDescent="0.25">
      <c r="A157" t="s">
        <v>319</v>
      </c>
      <c r="B157" s="2">
        <v>45718</v>
      </c>
      <c r="C157" t="s">
        <v>73</v>
      </c>
      <c r="D157" t="s">
        <v>26</v>
      </c>
      <c r="E157" t="s">
        <v>27</v>
      </c>
      <c r="F157">
        <v>209181.64</v>
      </c>
      <c r="G157" t="s">
        <v>38</v>
      </c>
      <c r="H157" t="s">
        <v>16</v>
      </c>
      <c r="I157" t="s">
        <v>17</v>
      </c>
      <c r="J157" t="s">
        <v>320</v>
      </c>
      <c r="K157" t="s">
        <v>18</v>
      </c>
    </row>
    <row r="158" spans="1:11" x14ac:dyDescent="0.25">
      <c r="A158" t="s">
        <v>321</v>
      </c>
      <c r="B158" s="2">
        <v>45504</v>
      </c>
      <c r="C158" t="s">
        <v>20</v>
      </c>
      <c r="D158" t="s">
        <v>46</v>
      </c>
      <c r="E158" t="s">
        <v>41</v>
      </c>
      <c r="F158">
        <v>85233.27</v>
      </c>
      <c r="G158" t="s">
        <v>38</v>
      </c>
      <c r="H158" t="s">
        <v>16</v>
      </c>
      <c r="I158" t="s">
        <v>17</v>
      </c>
      <c r="J158" t="s">
        <v>322</v>
      </c>
      <c r="K158" t="s">
        <v>18</v>
      </c>
    </row>
    <row r="159" spans="1:11" x14ac:dyDescent="0.25">
      <c r="A159" t="s">
        <v>323</v>
      </c>
      <c r="B159" s="2">
        <v>45925</v>
      </c>
      <c r="C159" t="s">
        <v>20</v>
      </c>
      <c r="D159" t="s">
        <v>37</v>
      </c>
      <c r="E159" t="s">
        <v>53</v>
      </c>
      <c r="F159">
        <v>29378</v>
      </c>
      <c r="G159" t="s">
        <v>15</v>
      </c>
      <c r="H159" t="s">
        <v>16</v>
      </c>
      <c r="I159" t="s">
        <v>17</v>
      </c>
      <c r="J159" t="s">
        <v>324</v>
      </c>
      <c r="K159" t="s">
        <v>18</v>
      </c>
    </row>
    <row r="160" spans="1:11" x14ac:dyDescent="0.25">
      <c r="A160" t="s">
        <v>325</v>
      </c>
      <c r="B160" s="2">
        <v>45988</v>
      </c>
      <c r="C160" t="s">
        <v>12</v>
      </c>
      <c r="D160" t="s">
        <v>46</v>
      </c>
      <c r="E160" t="s">
        <v>14</v>
      </c>
      <c r="F160">
        <v>112227.01</v>
      </c>
      <c r="G160" t="s">
        <v>38</v>
      </c>
      <c r="H160" t="s">
        <v>16</v>
      </c>
      <c r="I160" t="s">
        <v>17</v>
      </c>
      <c r="J160" t="s">
        <v>326</v>
      </c>
      <c r="K160" t="s">
        <v>30</v>
      </c>
    </row>
    <row r="161" spans="1:11" x14ac:dyDescent="0.25">
      <c r="A161" t="s">
        <v>327</v>
      </c>
      <c r="B161" s="2">
        <v>45596</v>
      </c>
      <c r="C161" t="s">
        <v>25</v>
      </c>
      <c r="D161" t="s">
        <v>21</v>
      </c>
      <c r="E161" t="s">
        <v>22</v>
      </c>
      <c r="F161">
        <v>199312.81</v>
      </c>
      <c r="G161" t="s">
        <v>38</v>
      </c>
      <c r="H161" t="s">
        <v>16</v>
      </c>
      <c r="I161" t="s">
        <v>17</v>
      </c>
      <c r="J161" t="s">
        <v>328</v>
      </c>
      <c r="K161" t="s">
        <v>18</v>
      </c>
    </row>
    <row r="162" spans="1:11" x14ac:dyDescent="0.25">
      <c r="A162" t="s">
        <v>329</v>
      </c>
      <c r="B162" s="2">
        <v>45057</v>
      </c>
      <c r="C162" t="s">
        <v>73</v>
      </c>
      <c r="D162" t="s">
        <v>13</v>
      </c>
      <c r="E162" t="s">
        <v>27</v>
      </c>
      <c r="F162">
        <v>62422.74</v>
      </c>
      <c r="G162" t="s">
        <v>38</v>
      </c>
      <c r="H162" t="s">
        <v>16</v>
      </c>
      <c r="I162" t="s">
        <v>17</v>
      </c>
      <c r="J162" t="s">
        <v>330</v>
      </c>
      <c r="K162" t="s">
        <v>30</v>
      </c>
    </row>
    <row r="163" spans="1:11" x14ac:dyDescent="0.25">
      <c r="A163" t="s">
        <v>331</v>
      </c>
      <c r="B163" s="2">
        <v>45952</v>
      </c>
      <c r="C163" t="s">
        <v>25</v>
      </c>
      <c r="D163" t="s">
        <v>46</v>
      </c>
      <c r="E163" t="s">
        <v>22</v>
      </c>
      <c r="F163">
        <v>159188.68</v>
      </c>
      <c r="G163" t="s">
        <v>15</v>
      </c>
      <c r="H163" t="s">
        <v>16</v>
      </c>
      <c r="I163" t="s">
        <v>17</v>
      </c>
      <c r="K163" t="s">
        <v>18</v>
      </c>
    </row>
    <row r="164" spans="1:11" x14ac:dyDescent="0.25">
      <c r="A164" t="s">
        <v>40</v>
      </c>
      <c r="B164" s="2">
        <v>45106</v>
      </c>
      <c r="C164" t="s">
        <v>20</v>
      </c>
      <c r="D164" t="s">
        <v>37</v>
      </c>
      <c r="E164" t="s">
        <v>41</v>
      </c>
      <c r="F164">
        <v>254961.83</v>
      </c>
      <c r="G164" t="s">
        <v>28</v>
      </c>
      <c r="H164" t="s">
        <v>16</v>
      </c>
      <c r="I164" t="s">
        <v>17</v>
      </c>
      <c r="J164" t="s">
        <v>332</v>
      </c>
      <c r="K164" t="s">
        <v>18</v>
      </c>
    </row>
    <row r="165" spans="1:11" x14ac:dyDescent="0.25">
      <c r="A165" t="s">
        <v>333</v>
      </c>
      <c r="B165" s="2">
        <v>45101</v>
      </c>
      <c r="C165" t="s">
        <v>12</v>
      </c>
      <c r="D165" t="s">
        <v>26</v>
      </c>
      <c r="E165" t="s">
        <v>41</v>
      </c>
      <c r="F165">
        <v>58564.68</v>
      </c>
      <c r="G165" t="s">
        <v>28</v>
      </c>
      <c r="H165" t="s">
        <v>34</v>
      </c>
      <c r="I165" t="s">
        <v>17</v>
      </c>
      <c r="J165" t="s">
        <v>334</v>
      </c>
      <c r="K165" t="s">
        <v>18</v>
      </c>
    </row>
    <row r="166" spans="1:11" x14ac:dyDescent="0.25">
      <c r="A166" t="s">
        <v>335</v>
      </c>
      <c r="B166" s="2">
        <v>45587</v>
      </c>
      <c r="C166" t="s">
        <v>73</v>
      </c>
      <c r="D166" t="s">
        <v>21</v>
      </c>
      <c r="E166" t="s">
        <v>27</v>
      </c>
      <c r="F166">
        <v>10342.370000000001</v>
      </c>
      <c r="G166" t="s">
        <v>38</v>
      </c>
      <c r="H166" t="s">
        <v>34</v>
      </c>
      <c r="I166" t="s">
        <v>17</v>
      </c>
      <c r="J166" t="s">
        <v>336</v>
      </c>
      <c r="K166" t="s">
        <v>18</v>
      </c>
    </row>
    <row r="167" spans="1:11" x14ac:dyDescent="0.25">
      <c r="A167" t="s">
        <v>337</v>
      </c>
      <c r="B167" s="2">
        <v>45257</v>
      </c>
      <c r="C167" t="s">
        <v>25</v>
      </c>
      <c r="D167" t="s">
        <v>60</v>
      </c>
      <c r="E167" t="s">
        <v>41</v>
      </c>
      <c r="F167">
        <v>71884.36</v>
      </c>
      <c r="G167" t="s">
        <v>28</v>
      </c>
      <c r="H167" t="s">
        <v>16</v>
      </c>
      <c r="I167" t="s">
        <v>17</v>
      </c>
      <c r="J167" t="s">
        <v>338</v>
      </c>
      <c r="K167" t="s">
        <v>18</v>
      </c>
    </row>
    <row r="168" spans="1:11" x14ac:dyDescent="0.25">
      <c r="A168" t="s">
        <v>339</v>
      </c>
      <c r="B168" s="2">
        <v>45590</v>
      </c>
      <c r="C168" t="s">
        <v>25</v>
      </c>
      <c r="D168" t="s">
        <v>64</v>
      </c>
      <c r="E168" t="s">
        <v>44</v>
      </c>
      <c r="F168">
        <v>6090.8</v>
      </c>
      <c r="G168" t="s">
        <v>38</v>
      </c>
      <c r="H168" t="s">
        <v>16</v>
      </c>
      <c r="I168" t="s">
        <v>17</v>
      </c>
      <c r="J168" t="s">
        <v>340</v>
      </c>
      <c r="K168" t="s">
        <v>30</v>
      </c>
    </row>
    <row r="169" spans="1:11" x14ac:dyDescent="0.25">
      <c r="A169" t="s">
        <v>341</v>
      </c>
      <c r="B169" s="2">
        <v>45534</v>
      </c>
      <c r="C169" t="s">
        <v>73</v>
      </c>
      <c r="D169" t="s">
        <v>46</v>
      </c>
      <c r="E169" t="s">
        <v>27</v>
      </c>
      <c r="F169">
        <v>83958.94</v>
      </c>
      <c r="G169" t="s">
        <v>38</v>
      </c>
      <c r="H169" t="s">
        <v>16</v>
      </c>
      <c r="I169" t="s">
        <v>17</v>
      </c>
      <c r="J169" t="s">
        <v>310</v>
      </c>
      <c r="K169" t="s">
        <v>30</v>
      </c>
    </row>
    <row r="170" spans="1:11" x14ac:dyDescent="0.25">
      <c r="A170" t="s">
        <v>342</v>
      </c>
      <c r="B170" s="2">
        <v>45376</v>
      </c>
      <c r="C170" t="s">
        <v>12</v>
      </c>
      <c r="D170" t="s">
        <v>26</v>
      </c>
      <c r="E170" t="s">
        <v>41</v>
      </c>
      <c r="F170">
        <v>189190</v>
      </c>
      <c r="G170" t="s">
        <v>38</v>
      </c>
      <c r="H170" t="s">
        <v>16</v>
      </c>
      <c r="I170" t="s">
        <v>17</v>
      </c>
      <c r="J170" t="s">
        <v>343</v>
      </c>
      <c r="K170" t="s">
        <v>30</v>
      </c>
    </row>
    <row r="171" spans="1:11" x14ac:dyDescent="0.25">
      <c r="A171" t="s">
        <v>344</v>
      </c>
      <c r="B171" s="2">
        <v>45657</v>
      </c>
      <c r="C171" t="s">
        <v>73</v>
      </c>
      <c r="D171" t="s">
        <v>60</v>
      </c>
      <c r="E171" t="s">
        <v>44</v>
      </c>
      <c r="F171">
        <v>175374.74</v>
      </c>
      <c r="G171" t="s">
        <v>15</v>
      </c>
      <c r="H171" t="s">
        <v>16</v>
      </c>
      <c r="I171" t="s">
        <v>17</v>
      </c>
      <c r="J171" t="s">
        <v>345</v>
      </c>
      <c r="K171" t="s">
        <v>18</v>
      </c>
    </row>
    <row r="172" spans="1:11" x14ac:dyDescent="0.25">
      <c r="A172" t="s">
        <v>346</v>
      </c>
      <c r="B172" s="2">
        <v>45507</v>
      </c>
      <c r="C172" t="s">
        <v>12</v>
      </c>
      <c r="D172" t="s">
        <v>64</v>
      </c>
      <c r="E172" t="s">
        <v>27</v>
      </c>
      <c r="F172">
        <v>90486.5</v>
      </c>
      <c r="G172" t="s">
        <v>15</v>
      </c>
      <c r="H172" t="s">
        <v>16</v>
      </c>
      <c r="I172" t="s">
        <v>17</v>
      </c>
      <c r="J172" t="s">
        <v>347</v>
      </c>
      <c r="K172" t="s">
        <v>18</v>
      </c>
    </row>
    <row r="173" spans="1:11" x14ac:dyDescent="0.25">
      <c r="A173" t="s">
        <v>348</v>
      </c>
      <c r="B173" s="2">
        <v>45710</v>
      </c>
      <c r="C173" t="s">
        <v>25</v>
      </c>
      <c r="D173" t="s">
        <v>13</v>
      </c>
      <c r="E173" t="s">
        <v>22</v>
      </c>
      <c r="F173">
        <v>252939.47</v>
      </c>
      <c r="G173" t="s">
        <v>15</v>
      </c>
      <c r="H173" t="s">
        <v>16</v>
      </c>
      <c r="I173" t="s">
        <v>17</v>
      </c>
      <c r="J173" t="s">
        <v>349</v>
      </c>
      <c r="K173" t="s">
        <v>18</v>
      </c>
    </row>
    <row r="174" spans="1:11" x14ac:dyDescent="0.25">
      <c r="A174" t="s">
        <v>350</v>
      </c>
      <c r="B174" s="2">
        <v>45633</v>
      </c>
      <c r="C174" t="s">
        <v>12</v>
      </c>
      <c r="D174" t="s">
        <v>64</v>
      </c>
      <c r="E174" t="s">
        <v>22</v>
      </c>
      <c r="F174">
        <v>239331.93</v>
      </c>
      <c r="G174" t="s">
        <v>28</v>
      </c>
      <c r="H174" t="s">
        <v>16</v>
      </c>
      <c r="I174" t="s">
        <v>17</v>
      </c>
      <c r="J174" t="s">
        <v>351</v>
      </c>
      <c r="K174" t="s">
        <v>18</v>
      </c>
    </row>
    <row r="175" spans="1:11" x14ac:dyDescent="0.25">
      <c r="A175" t="s">
        <v>352</v>
      </c>
      <c r="B175" s="2">
        <v>45705</v>
      </c>
      <c r="C175" t="s">
        <v>12</v>
      </c>
      <c r="D175" t="s">
        <v>60</v>
      </c>
      <c r="E175" t="s">
        <v>41</v>
      </c>
      <c r="F175">
        <v>241316.62</v>
      </c>
      <c r="G175" t="s">
        <v>28</v>
      </c>
      <c r="H175" t="s">
        <v>16</v>
      </c>
      <c r="I175" t="s">
        <v>17</v>
      </c>
      <c r="J175" t="s">
        <v>353</v>
      </c>
      <c r="K175" t="s">
        <v>30</v>
      </c>
    </row>
    <row r="176" spans="1:11" x14ac:dyDescent="0.25">
      <c r="A176" t="s">
        <v>354</v>
      </c>
      <c r="B176" s="2">
        <v>45641</v>
      </c>
      <c r="C176" t="s">
        <v>12</v>
      </c>
      <c r="D176" t="s">
        <v>37</v>
      </c>
      <c r="E176" t="s">
        <v>22</v>
      </c>
      <c r="F176">
        <v>209831.55</v>
      </c>
      <c r="G176" t="s">
        <v>38</v>
      </c>
      <c r="H176" t="s">
        <v>16</v>
      </c>
      <c r="I176" t="s">
        <v>17</v>
      </c>
      <c r="J176" t="s">
        <v>355</v>
      </c>
      <c r="K176" t="s">
        <v>18</v>
      </c>
    </row>
    <row r="177" spans="1:11" x14ac:dyDescent="0.25">
      <c r="A177" t="s">
        <v>356</v>
      </c>
      <c r="B177" s="2">
        <v>45501</v>
      </c>
      <c r="C177" t="s">
        <v>12</v>
      </c>
      <c r="D177" t="s">
        <v>60</v>
      </c>
      <c r="E177" t="s">
        <v>44</v>
      </c>
      <c r="F177">
        <v>234970.85</v>
      </c>
      <c r="G177" t="s">
        <v>38</v>
      </c>
      <c r="H177" t="s">
        <v>16</v>
      </c>
      <c r="I177" t="s">
        <v>17</v>
      </c>
      <c r="J177" t="s">
        <v>357</v>
      </c>
      <c r="K177" t="s">
        <v>18</v>
      </c>
    </row>
    <row r="178" spans="1:11" x14ac:dyDescent="0.25">
      <c r="A178" t="s">
        <v>358</v>
      </c>
      <c r="B178" s="2">
        <v>45554</v>
      </c>
      <c r="C178" t="s">
        <v>12</v>
      </c>
      <c r="D178" t="s">
        <v>64</v>
      </c>
      <c r="E178" t="s">
        <v>27</v>
      </c>
      <c r="F178">
        <v>60900</v>
      </c>
      <c r="G178" t="s">
        <v>28</v>
      </c>
      <c r="H178" t="s">
        <v>16</v>
      </c>
      <c r="I178" t="s">
        <v>17</v>
      </c>
      <c r="J178" t="s">
        <v>359</v>
      </c>
      <c r="K178" t="s">
        <v>30</v>
      </c>
    </row>
    <row r="179" spans="1:11" x14ac:dyDescent="0.25">
      <c r="A179" t="s">
        <v>360</v>
      </c>
      <c r="B179" s="2">
        <v>46007</v>
      </c>
      <c r="C179" t="s">
        <v>12</v>
      </c>
      <c r="D179" t="s">
        <v>26</v>
      </c>
      <c r="E179" t="s">
        <v>14</v>
      </c>
      <c r="F179">
        <v>110684.18</v>
      </c>
      <c r="G179" t="s">
        <v>28</v>
      </c>
      <c r="H179" t="s">
        <v>16</v>
      </c>
      <c r="I179" t="s">
        <v>17</v>
      </c>
      <c r="J179" t="s">
        <v>361</v>
      </c>
      <c r="K179" t="s">
        <v>18</v>
      </c>
    </row>
    <row r="180" spans="1:11" x14ac:dyDescent="0.25">
      <c r="A180" t="s">
        <v>362</v>
      </c>
      <c r="B180" s="2">
        <v>45304</v>
      </c>
      <c r="C180" t="s">
        <v>12</v>
      </c>
      <c r="D180" t="s">
        <v>46</v>
      </c>
      <c r="E180" t="s">
        <v>22</v>
      </c>
      <c r="F180">
        <v>126051</v>
      </c>
      <c r="G180" t="s">
        <v>28</v>
      </c>
      <c r="H180" t="s">
        <v>16</v>
      </c>
      <c r="I180" t="s">
        <v>17</v>
      </c>
      <c r="J180" t="s">
        <v>363</v>
      </c>
      <c r="K180" t="s">
        <v>18</v>
      </c>
    </row>
    <row r="181" spans="1:11" x14ac:dyDescent="0.25">
      <c r="A181" t="s">
        <v>364</v>
      </c>
      <c r="B181" s="2">
        <v>45233</v>
      </c>
      <c r="C181" t="s">
        <v>73</v>
      </c>
      <c r="D181" t="s">
        <v>13</v>
      </c>
      <c r="E181" t="s">
        <v>14</v>
      </c>
      <c r="F181">
        <v>211934.63</v>
      </c>
      <c r="G181" t="s">
        <v>38</v>
      </c>
      <c r="H181" t="s">
        <v>16</v>
      </c>
      <c r="I181" t="s">
        <v>17</v>
      </c>
      <c r="J181" t="s">
        <v>365</v>
      </c>
      <c r="K181" t="s">
        <v>18</v>
      </c>
    </row>
    <row r="182" spans="1:11" x14ac:dyDescent="0.25">
      <c r="A182" t="s">
        <v>366</v>
      </c>
      <c r="B182" s="2">
        <v>45456</v>
      </c>
      <c r="C182" t="s">
        <v>73</v>
      </c>
      <c r="D182" t="s">
        <v>46</v>
      </c>
      <c r="E182" t="s">
        <v>27</v>
      </c>
      <c r="F182">
        <v>47274.51</v>
      </c>
      <c r="G182" t="s">
        <v>28</v>
      </c>
      <c r="H182" t="s">
        <v>16</v>
      </c>
      <c r="I182" t="s">
        <v>17</v>
      </c>
      <c r="J182" t="s">
        <v>367</v>
      </c>
      <c r="K182" t="s">
        <v>18</v>
      </c>
    </row>
    <row r="183" spans="1:11" x14ac:dyDescent="0.25">
      <c r="A183" t="s">
        <v>368</v>
      </c>
      <c r="B183" s="2">
        <v>45797</v>
      </c>
      <c r="C183" t="s">
        <v>20</v>
      </c>
      <c r="D183" t="s">
        <v>60</v>
      </c>
      <c r="E183" t="s">
        <v>14</v>
      </c>
      <c r="F183">
        <v>280170.81</v>
      </c>
      <c r="G183" t="s">
        <v>15</v>
      </c>
      <c r="H183" t="s">
        <v>16</v>
      </c>
      <c r="I183" t="s">
        <v>17</v>
      </c>
      <c r="J183" t="s">
        <v>369</v>
      </c>
      <c r="K183" t="s">
        <v>18</v>
      </c>
    </row>
    <row r="184" spans="1:11" x14ac:dyDescent="0.25">
      <c r="A184" t="s">
        <v>370</v>
      </c>
      <c r="B184" s="2">
        <v>46020</v>
      </c>
      <c r="C184" t="s">
        <v>25</v>
      </c>
      <c r="D184" t="s">
        <v>60</v>
      </c>
      <c r="E184" t="s">
        <v>14</v>
      </c>
      <c r="F184">
        <v>150237.28</v>
      </c>
      <c r="G184" t="s">
        <v>38</v>
      </c>
      <c r="H184" t="s">
        <v>16</v>
      </c>
      <c r="I184" t="s">
        <v>17</v>
      </c>
      <c r="J184" t="s">
        <v>371</v>
      </c>
      <c r="K184" t="s">
        <v>18</v>
      </c>
    </row>
    <row r="185" spans="1:11" x14ac:dyDescent="0.25">
      <c r="A185" t="s">
        <v>372</v>
      </c>
      <c r="B185" s="2">
        <v>45910</v>
      </c>
      <c r="C185" t="s">
        <v>25</v>
      </c>
      <c r="D185" t="s">
        <v>13</v>
      </c>
      <c r="E185" t="s">
        <v>44</v>
      </c>
      <c r="F185">
        <v>144580.35999999999</v>
      </c>
      <c r="G185" t="s">
        <v>28</v>
      </c>
      <c r="H185" t="s">
        <v>16</v>
      </c>
      <c r="I185" t="s">
        <v>17</v>
      </c>
      <c r="J185" t="s">
        <v>373</v>
      </c>
      <c r="K185" t="s">
        <v>18</v>
      </c>
    </row>
    <row r="186" spans="1:11" x14ac:dyDescent="0.25">
      <c r="A186" t="s">
        <v>374</v>
      </c>
      <c r="B186" s="2">
        <v>44997</v>
      </c>
      <c r="C186" t="s">
        <v>20</v>
      </c>
      <c r="D186" t="s">
        <v>37</v>
      </c>
      <c r="E186" t="s">
        <v>44</v>
      </c>
      <c r="F186">
        <v>169472.73</v>
      </c>
      <c r="G186" t="s">
        <v>28</v>
      </c>
      <c r="H186" t="s">
        <v>16</v>
      </c>
      <c r="I186" t="s">
        <v>17</v>
      </c>
      <c r="J186" t="s">
        <v>375</v>
      </c>
      <c r="K186" t="s">
        <v>18</v>
      </c>
    </row>
    <row r="187" spans="1:11" x14ac:dyDescent="0.25">
      <c r="A187" t="s">
        <v>376</v>
      </c>
      <c r="B187" s="2">
        <v>45952</v>
      </c>
      <c r="C187" t="s">
        <v>12</v>
      </c>
      <c r="D187" t="s">
        <v>64</v>
      </c>
      <c r="E187" t="s">
        <v>44</v>
      </c>
      <c r="F187">
        <v>76486.95</v>
      </c>
      <c r="G187" t="s">
        <v>28</v>
      </c>
      <c r="H187" t="s">
        <v>34</v>
      </c>
      <c r="I187" t="s">
        <v>17</v>
      </c>
      <c r="J187" t="s">
        <v>377</v>
      </c>
      <c r="K187" t="s">
        <v>30</v>
      </c>
    </row>
    <row r="188" spans="1:11" x14ac:dyDescent="0.25">
      <c r="A188" t="s">
        <v>378</v>
      </c>
      <c r="B188" s="2">
        <v>45886</v>
      </c>
      <c r="C188" t="s">
        <v>73</v>
      </c>
      <c r="D188" t="s">
        <v>46</v>
      </c>
      <c r="E188" t="s">
        <v>27</v>
      </c>
      <c r="F188">
        <v>139720.44</v>
      </c>
      <c r="G188" t="s">
        <v>38</v>
      </c>
      <c r="H188" t="s">
        <v>16</v>
      </c>
      <c r="I188" t="s">
        <v>17</v>
      </c>
      <c r="J188" t="s">
        <v>379</v>
      </c>
      <c r="K188" t="s">
        <v>18</v>
      </c>
    </row>
    <row r="189" spans="1:11" x14ac:dyDescent="0.25">
      <c r="A189" t="s">
        <v>380</v>
      </c>
      <c r="B189" s="2">
        <v>45631</v>
      </c>
      <c r="C189" t="s">
        <v>12</v>
      </c>
      <c r="D189" t="s">
        <v>46</v>
      </c>
      <c r="E189" t="s">
        <v>27</v>
      </c>
      <c r="F189">
        <v>167318.45000000001</v>
      </c>
      <c r="G189" t="s">
        <v>15</v>
      </c>
      <c r="H189" t="s">
        <v>16</v>
      </c>
      <c r="I189" t="s">
        <v>17</v>
      </c>
      <c r="J189" t="s">
        <v>381</v>
      </c>
      <c r="K189" t="s">
        <v>18</v>
      </c>
    </row>
    <row r="190" spans="1:11" x14ac:dyDescent="0.25">
      <c r="A190" t="s">
        <v>382</v>
      </c>
      <c r="B190" s="2">
        <v>45347</v>
      </c>
      <c r="C190" t="s">
        <v>12</v>
      </c>
      <c r="D190" t="s">
        <v>13</v>
      </c>
      <c r="E190" t="s">
        <v>41</v>
      </c>
      <c r="F190">
        <v>8890</v>
      </c>
      <c r="G190" t="s">
        <v>15</v>
      </c>
      <c r="H190" t="s">
        <v>16</v>
      </c>
      <c r="I190" t="s">
        <v>17</v>
      </c>
      <c r="J190" t="s">
        <v>383</v>
      </c>
      <c r="K190" t="s">
        <v>18</v>
      </c>
    </row>
    <row r="191" spans="1:11" x14ac:dyDescent="0.25">
      <c r="A191" t="s">
        <v>384</v>
      </c>
      <c r="B191" s="2">
        <v>45457</v>
      </c>
      <c r="C191" t="s">
        <v>20</v>
      </c>
      <c r="D191" t="s">
        <v>26</v>
      </c>
      <c r="E191" t="s">
        <v>14</v>
      </c>
      <c r="F191">
        <v>290785.15999999997</v>
      </c>
      <c r="G191" t="s">
        <v>38</v>
      </c>
      <c r="H191" t="s">
        <v>16</v>
      </c>
      <c r="I191" t="s">
        <v>17</v>
      </c>
      <c r="J191" t="s">
        <v>385</v>
      </c>
      <c r="K191" t="s">
        <v>18</v>
      </c>
    </row>
    <row r="192" spans="1:11" x14ac:dyDescent="0.25">
      <c r="A192" t="s">
        <v>386</v>
      </c>
      <c r="B192" s="2">
        <v>45385</v>
      </c>
      <c r="C192" t="s">
        <v>25</v>
      </c>
      <c r="D192" t="s">
        <v>60</v>
      </c>
      <c r="E192" t="s">
        <v>27</v>
      </c>
      <c r="F192">
        <v>144089.89000000001</v>
      </c>
      <c r="G192" t="s">
        <v>28</v>
      </c>
      <c r="H192" t="s">
        <v>34</v>
      </c>
      <c r="I192" t="s">
        <v>17</v>
      </c>
      <c r="J192" t="s">
        <v>387</v>
      </c>
      <c r="K192" t="s">
        <v>18</v>
      </c>
    </row>
    <row r="193" spans="1:11" x14ac:dyDescent="0.25">
      <c r="A193" t="s">
        <v>388</v>
      </c>
      <c r="B193" s="2">
        <v>45657</v>
      </c>
      <c r="C193" t="s">
        <v>73</v>
      </c>
      <c r="D193" t="s">
        <v>37</v>
      </c>
      <c r="E193" t="s">
        <v>14</v>
      </c>
      <c r="F193">
        <v>294655.64</v>
      </c>
      <c r="G193" t="s">
        <v>15</v>
      </c>
      <c r="H193" t="s">
        <v>16</v>
      </c>
      <c r="I193" t="s">
        <v>17</v>
      </c>
      <c r="J193" t="s">
        <v>389</v>
      </c>
      <c r="K193" t="s">
        <v>18</v>
      </c>
    </row>
    <row r="194" spans="1:11" x14ac:dyDescent="0.25">
      <c r="A194" t="s">
        <v>390</v>
      </c>
      <c r="B194" s="2">
        <v>45687</v>
      </c>
      <c r="C194" t="s">
        <v>12</v>
      </c>
      <c r="D194" t="s">
        <v>64</v>
      </c>
      <c r="E194" t="s">
        <v>44</v>
      </c>
      <c r="F194">
        <v>216603.14</v>
      </c>
      <c r="G194" t="s">
        <v>38</v>
      </c>
      <c r="H194" t="s">
        <v>16</v>
      </c>
      <c r="I194" t="s">
        <v>17</v>
      </c>
      <c r="J194" t="s">
        <v>391</v>
      </c>
      <c r="K194" t="s">
        <v>18</v>
      </c>
    </row>
    <row r="195" spans="1:11" x14ac:dyDescent="0.25">
      <c r="A195" t="s">
        <v>392</v>
      </c>
      <c r="B195" s="2">
        <v>45840</v>
      </c>
      <c r="C195" t="s">
        <v>73</v>
      </c>
      <c r="D195" t="s">
        <v>46</v>
      </c>
      <c r="E195" t="s">
        <v>27</v>
      </c>
      <c r="F195">
        <v>87222.01</v>
      </c>
      <c r="G195" t="s">
        <v>38</v>
      </c>
      <c r="H195" t="s">
        <v>16</v>
      </c>
      <c r="I195" t="s">
        <v>17</v>
      </c>
      <c r="J195" t="s">
        <v>393</v>
      </c>
      <c r="K195" t="s">
        <v>30</v>
      </c>
    </row>
    <row r="196" spans="1:11" x14ac:dyDescent="0.25">
      <c r="A196" t="s">
        <v>394</v>
      </c>
      <c r="B196" s="2">
        <v>45109</v>
      </c>
      <c r="C196" t="s">
        <v>25</v>
      </c>
      <c r="D196" t="s">
        <v>37</v>
      </c>
      <c r="E196" t="s">
        <v>22</v>
      </c>
      <c r="G196" t="s">
        <v>38</v>
      </c>
      <c r="H196" t="s">
        <v>16</v>
      </c>
      <c r="I196" t="s">
        <v>17</v>
      </c>
      <c r="J196" t="s">
        <v>395</v>
      </c>
      <c r="K196" t="s">
        <v>18</v>
      </c>
    </row>
    <row r="197" spans="1:11" x14ac:dyDescent="0.25">
      <c r="A197" t="s">
        <v>396</v>
      </c>
      <c r="B197" s="2">
        <v>45409</v>
      </c>
      <c r="C197" t="s">
        <v>20</v>
      </c>
      <c r="D197" t="s">
        <v>13</v>
      </c>
      <c r="E197" t="s">
        <v>22</v>
      </c>
      <c r="F197">
        <v>67932.81</v>
      </c>
      <c r="G197" t="s">
        <v>28</v>
      </c>
      <c r="H197" t="s">
        <v>16</v>
      </c>
      <c r="I197" t="s">
        <v>17</v>
      </c>
      <c r="J197" t="s">
        <v>397</v>
      </c>
      <c r="K197" t="s">
        <v>18</v>
      </c>
    </row>
    <row r="198" spans="1:11" x14ac:dyDescent="0.25">
      <c r="A198" t="s">
        <v>398</v>
      </c>
      <c r="B198" s="2">
        <v>45741</v>
      </c>
      <c r="C198" t="s">
        <v>20</v>
      </c>
      <c r="D198" t="s">
        <v>64</v>
      </c>
      <c r="E198" t="s">
        <v>53</v>
      </c>
      <c r="F198">
        <v>309415.09999999998</v>
      </c>
      <c r="G198" t="s">
        <v>28</v>
      </c>
      <c r="H198" t="s">
        <v>16</v>
      </c>
      <c r="I198" t="s">
        <v>17</v>
      </c>
      <c r="J198" t="s">
        <v>399</v>
      </c>
      <c r="K198" t="s">
        <v>30</v>
      </c>
    </row>
    <row r="199" spans="1:11" x14ac:dyDescent="0.25">
      <c r="A199" t="s">
        <v>400</v>
      </c>
      <c r="B199" s="2">
        <v>45308</v>
      </c>
      <c r="C199" t="s">
        <v>25</v>
      </c>
      <c r="D199" t="s">
        <v>26</v>
      </c>
      <c r="E199" t="s">
        <v>44</v>
      </c>
      <c r="F199">
        <v>14949.94</v>
      </c>
      <c r="G199" t="s">
        <v>15</v>
      </c>
      <c r="H199" t="s">
        <v>16</v>
      </c>
      <c r="I199" t="s">
        <v>17</v>
      </c>
      <c r="J199" t="s">
        <v>401</v>
      </c>
      <c r="K199" t="s">
        <v>30</v>
      </c>
    </row>
    <row r="200" spans="1:11" x14ac:dyDescent="0.25">
      <c r="A200" t="s">
        <v>402</v>
      </c>
      <c r="B200" s="2">
        <v>45853</v>
      </c>
      <c r="C200" t="s">
        <v>25</v>
      </c>
      <c r="D200" t="s">
        <v>60</v>
      </c>
      <c r="E200" t="s">
        <v>14</v>
      </c>
      <c r="F200">
        <v>127572.1</v>
      </c>
      <c r="G200" t="s">
        <v>15</v>
      </c>
      <c r="H200" t="s">
        <v>34</v>
      </c>
      <c r="I200" t="s">
        <v>17</v>
      </c>
      <c r="J200" t="s">
        <v>403</v>
      </c>
      <c r="K200" t="s">
        <v>18</v>
      </c>
    </row>
    <row r="201" spans="1:11" x14ac:dyDescent="0.25">
      <c r="A201" t="s">
        <v>404</v>
      </c>
      <c r="B201" s="2">
        <v>45826</v>
      </c>
      <c r="C201" t="s">
        <v>20</v>
      </c>
      <c r="D201" t="s">
        <v>64</v>
      </c>
      <c r="E201" t="s">
        <v>41</v>
      </c>
      <c r="F201">
        <v>149145.92000000001</v>
      </c>
      <c r="G201" t="s">
        <v>38</v>
      </c>
      <c r="H201" t="s">
        <v>16</v>
      </c>
      <c r="I201" t="s">
        <v>17</v>
      </c>
      <c r="J201" t="s">
        <v>405</v>
      </c>
      <c r="K201" t="s">
        <v>18</v>
      </c>
    </row>
    <row r="202" spans="1:11" x14ac:dyDescent="0.25">
      <c r="A202" t="s">
        <v>406</v>
      </c>
      <c r="B202" s="2">
        <v>45864</v>
      </c>
      <c r="C202" t="s">
        <v>12</v>
      </c>
      <c r="D202" t="s">
        <v>13</v>
      </c>
      <c r="E202" t="s">
        <v>44</v>
      </c>
      <c r="F202">
        <v>186183.52</v>
      </c>
      <c r="G202" t="s">
        <v>28</v>
      </c>
      <c r="H202" t="s">
        <v>16</v>
      </c>
      <c r="I202" t="s">
        <v>17</v>
      </c>
      <c r="K202" t="s">
        <v>18</v>
      </c>
    </row>
    <row r="203" spans="1:11" x14ac:dyDescent="0.25">
      <c r="A203" t="s">
        <v>407</v>
      </c>
      <c r="B203" s="2">
        <v>44982</v>
      </c>
      <c r="C203" t="s">
        <v>25</v>
      </c>
      <c r="D203" t="s">
        <v>26</v>
      </c>
      <c r="E203" t="s">
        <v>41</v>
      </c>
      <c r="F203">
        <v>99649.67</v>
      </c>
      <c r="G203" t="s">
        <v>15</v>
      </c>
      <c r="H203" t="s">
        <v>16</v>
      </c>
      <c r="I203" t="s">
        <v>17</v>
      </c>
      <c r="J203" t="s">
        <v>408</v>
      </c>
      <c r="K203" t="s">
        <v>18</v>
      </c>
    </row>
    <row r="204" spans="1:11" x14ac:dyDescent="0.25">
      <c r="A204" t="s">
        <v>409</v>
      </c>
      <c r="B204" s="2">
        <v>45218</v>
      </c>
      <c r="C204" t="s">
        <v>20</v>
      </c>
      <c r="D204" t="s">
        <v>21</v>
      </c>
      <c r="E204" t="s">
        <v>44</v>
      </c>
      <c r="F204">
        <v>41806.160000000003</v>
      </c>
      <c r="G204" t="s">
        <v>28</v>
      </c>
      <c r="H204" t="s">
        <v>16</v>
      </c>
      <c r="I204" t="s">
        <v>17</v>
      </c>
      <c r="J204" t="s">
        <v>410</v>
      </c>
      <c r="K204" t="s">
        <v>18</v>
      </c>
    </row>
    <row r="205" spans="1:11" x14ac:dyDescent="0.25">
      <c r="A205" t="s">
        <v>411</v>
      </c>
      <c r="B205" s="2">
        <v>45033</v>
      </c>
      <c r="C205" t="s">
        <v>73</v>
      </c>
      <c r="D205" t="s">
        <v>60</v>
      </c>
      <c r="E205" t="s">
        <v>41</v>
      </c>
      <c r="F205">
        <v>80553.16</v>
      </c>
      <c r="G205" t="s">
        <v>38</v>
      </c>
      <c r="H205" t="s">
        <v>16</v>
      </c>
      <c r="I205" t="s">
        <v>17</v>
      </c>
      <c r="K205" t="s">
        <v>30</v>
      </c>
    </row>
    <row r="206" spans="1:11" x14ac:dyDescent="0.25">
      <c r="A206" t="s">
        <v>412</v>
      </c>
      <c r="B206" s="2">
        <v>45189</v>
      </c>
      <c r="C206" t="s">
        <v>20</v>
      </c>
      <c r="D206" t="s">
        <v>64</v>
      </c>
      <c r="E206" t="s">
        <v>14</v>
      </c>
      <c r="F206">
        <v>140585.26999999999</v>
      </c>
      <c r="G206" t="s">
        <v>28</v>
      </c>
      <c r="H206" t="s">
        <v>16</v>
      </c>
      <c r="I206" t="s">
        <v>17</v>
      </c>
      <c r="J206" t="s">
        <v>413</v>
      </c>
      <c r="K206" t="s">
        <v>18</v>
      </c>
    </row>
    <row r="207" spans="1:11" x14ac:dyDescent="0.25">
      <c r="A207" t="s">
        <v>414</v>
      </c>
      <c r="B207" s="2">
        <v>45002</v>
      </c>
      <c r="C207" t="s">
        <v>12</v>
      </c>
      <c r="D207" t="s">
        <v>64</v>
      </c>
      <c r="E207" t="s">
        <v>27</v>
      </c>
      <c r="F207">
        <v>94817.4</v>
      </c>
      <c r="G207" t="s">
        <v>28</v>
      </c>
      <c r="H207" t="s">
        <v>16</v>
      </c>
      <c r="I207" t="s">
        <v>17</v>
      </c>
      <c r="J207" t="s">
        <v>415</v>
      </c>
      <c r="K207" t="s">
        <v>18</v>
      </c>
    </row>
    <row r="208" spans="1:11" x14ac:dyDescent="0.25">
      <c r="A208" t="s">
        <v>416</v>
      </c>
      <c r="B208" s="2">
        <v>45405</v>
      </c>
      <c r="C208" t="s">
        <v>25</v>
      </c>
      <c r="D208" t="s">
        <v>21</v>
      </c>
      <c r="E208" t="s">
        <v>27</v>
      </c>
      <c r="F208">
        <v>230994.45</v>
      </c>
      <c r="G208" t="s">
        <v>38</v>
      </c>
      <c r="H208" t="s">
        <v>16</v>
      </c>
      <c r="I208" t="s">
        <v>17</v>
      </c>
      <c r="J208" t="s">
        <v>417</v>
      </c>
      <c r="K208" t="s">
        <v>30</v>
      </c>
    </row>
    <row r="209" spans="1:11" x14ac:dyDescent="0.25">
      <c r="A209" t="s">
        <v>418</v>
      </c>
      <c r="B209" s="2">
        <v>45892</v>
      </c>
      <c r="C209" t="s">
        <v>25</v>
      </c>
      <c r="D209" t="s">
        <v>21</v>
      </c>
      <c r="E209" t="s">
        <v>14</v>
      </c>
      <c r="F209">
        <v>69014.539999999994</v>
      </c>
      <c r="G209" t="s">
        <v>15</v>
      </c>
      <c r="H209" t="s">
        <v>16</v>
      </c>
      <c r="I209" t="s">
        <v>17</v>
      </c>
      <c r="J209" t="s">
        <v>419</v>
      </c>
      <c r="K209" t="s">
        <v>18</v>
      </c>
    </row>
    <row r="210" spans="1:11" x14ac:dyDescent="0.25">
      <c r="A210" t="s">
        <v>420</v>
      </c>
      <c r="B210" s="2">
        <v>45309</v>
      </c>
      <c r="C210" t="s">
        <v>20</v>
      </c>
      <c r="D210" t="s">
        <v>60</v>
      </c>
      <c r="E210" t="s">
        <v>22</v>
      </c>
      <c r="F210">
        <v>159742.94</v>
      </c>
      <c r="G210" t="s">
        <v>38</v>
      </c>
      <c r="H210" t="s">
        <v>16</v>
      </c>
      <c r="I210" t="s">
        <v>17</v>
      </c>
      <c r="J210" t="s">
        <v>421</v>
      </c>
      <c r="K210" t="s">
        <v>30</v>
      </c>
    </row>
    <row r="211" spans="1:11" x14ac:dyDescent="0.25">
      <c r="A211" t="s">
        <v>422</v>
      </c>
      <c r="B211" s="2">
        <v>45049</v>
      </c>
      <c r="C211" t="s">
        <v>12</v>
      </c>
      <c r="D211" t="s">
        <v>64</v>
      </c>
      <c r="E211" t="s">
        <v>22</v>
      </c>
      <c r="F211">
        <v>88579</v>
      </c>
      <c r="G211" t="s">
        <v>38</v>
      </c>
      <c r="H211" t="s">
        <v>16</v>
      </c>
      <c r="I211" t="s">
        <v>17</v>
      </c>
      <c r="J211" t="s">
        <v>423</v>
      </c>
      <c r="K211" t="s">
        <v>18</v>
      </c>
    </row>
    <row r="212" spans="1:11" x14ac:dyDescent="0.25">
      <c r="A212" t="s">
        <v>424</v>
      </c>
      <c r="B212" s="2">
        <v>45608</v>
      </c>
      <c r="C212" t="s">
        <v>25</v>
      </c>
      <c r="D212" t="s">
        <v>37</v>
      </c>
      <c r="E212" t="s">
        <v>27</v>
      </c>
      <c r="F212">
        <v>65447.09</v>
      </c>
      <c r="G212" t="s">
        <v>38</v>
      </c>
      <c r="H212" t="s">
        <v>16</v>
      </c>
      <c r="I212" t="s">
        <v>17</v>
      </c>
      <c r="J212" t="s">
        <v>425</v>
      </c>
      <c r="K212" t="s">
        <v>18</v>
      </c>
    </row>
    <row r="213" spans="1:11" x14ac:dyDescent="0.25">
      <c r="A213" t="s">
        <v>426</v>
      </c>
      <c r="B213" s="2">
        <v>45814</v>
      </c>
      <c r="C213" t="s">
        <v>20</v>
      </c>
      <c r="D213" t="s">
        <v>60</v>
      </c>
      <c r="E213" t="s">
        <v>14</v>
      </c>
      <c r="F213">
        <v>94984.639999999999</v>
      </c>
      <c r="G213" t="s">
        <v>15</v>
      </c>
      <c r="H213" t="s">
        <v>16</v>
      </c>
      <c r="I213" t="s">
        <v>17</v>
      </c>
      <c r="J213" t="s">
        <v>427</v>
      </c>
      <c r="K213" t="s">
        <v>18</v>
      </c>
    </row>
    <row r="214" spans="1:11" x14ac:dyDescent="0.25">
      <c r="A214" t="s">
        <v>428</v>
      </c>
      <c r="B214" s="2">
        <v>45393</v>
      </c>
      <c r="C214" t="s">
        <v>25</v>
      </c>
      <c r="D214" t="s">
        <v>46</v>
      </c>
      <c r="E214" t="s">
        <v>14</v>
      </c>
      <c r="F214">
        <v>36531.019999999997</v>
      </c>
      <c r="G214" t="s">
        <v>28</v>
      </c>
      <c r="H214" t="s">
        <v>16</v>
      </c>
      <c r="I214" t="s">
        <v>17</v>
      </c>
      <c r="J214" t="s">
        <v>429</v>
      </c>
      <c r="K214" t="s">
        <v>18</v>
      </c>
    </row>
    <row r="215" spans="1:11" x14ac:dyDescent="0.25">
      <c r="A215" t="s">
        <v>430</v>
      </c>
      <c r="B215" s="2">
        <v>45362</v>
      </c>
      <c r="C215" t="s">
        <v>59</v>
      </c>
      <c r="D215" t="s">
        <v>13</v>
      </c>
      <c r="E215" t="s">
        <v>41</v>
      </c>
      <c r="F215">
        <v>15119.52</v>
      </c>
      <c r="G215" t="s">
        <v>38</v>
      </c>
      <c r="H215" t="s">
        <v>16</v>
      </c>
      <c r="I215" t="s">
        <v>17</v>
      </c>
      <c r="J215" t="s">
        <v>431</v>
      </c>
      <c r="K215" t="s">
        <v>18</v>
      </c>
    </row>
    <row r="216" spans="1:11" x14ac:dyDescent="0.25">
      <c r="A216" t="s">
        <v>432</v>
      </c>
      <c r="B216" s="2">
        <v>45038</v>
      </c>
      <c r="C216" t="s">
        <v>25</v>
      </c>
      <c r="D216" t="s">
        <v>60</v>
      </c>
      <c r="E216" t="s">
        <v>22</v>
      </c>
      <c r="F216">
        <v>160388.70000000001</v>
      </c>
      <c r="G216" t="s">
        <v>38</v>
      </c>
      <c r="H216" t="s">
        <v>16</v>
      </c>
      <c r="I216" t="s">
        <v>17</v>
      </c>
      <c r="J216" t="s">
        <v>433</v>
      </c>
      <c r="K216" t="s">
        <v>18</v>
      </c>
    </row>
    <row r="217" spans="1:11" x14ac:dyDescent="0.25">
      <c r="A217" t="s">
        <v>434</v>
      </c>
      <c r="B217" s="2">
        <v>45740</v>
      </c>
      <c r="C217" t="s">
        <v>25</v>
      </c>
      <c r="D217" t="s">
        <v>21</v>
      </c>
      <c r="E217" t="s">
        <v>27</v>
      </c>
      <c r="F217">
        <v>238899</v>
      </c>
      <c r="G217" t="s">
        <v>28</v>
      </c>
      <c r="H217" t="s">
        <v>16</v>
      </c>
      <c r="I217" t="s">
        <v>17</v>
      </c>
      <c r="J217" t="s">
        <v>435</v>
      </c>
      <c r="K217" t="s">
        <v>18</v>
      </c>
    </row>
    <row r="218" spans="1:11" x14ac:dyDescent="0.25">
      <c r="A218" t="s">
        <v>436</v>
      </c>
      <c r="B218" s="2">
        <v>45107</v>
      </c>
      <c r="C218" t="s">
        <v>20</v>
      </c>
      <c r="D218" t="s">
        <v>60</v>
      </c>
      <c r="E218" t="s">
        <v>53</v>
      </c>
      <c r="F218">
        <v>152850.01999999999</v>
      </c>
      <c r="G218" t="s">
        <v>15</v>
      </c>
      <c r="H218" t="s">
        <v>16</v>
      </c>
      <c r="I218" t="s">
        <v>17</v>
      </c>
      <c r="J218" t="s">
        <v>437</v>
      </c>
      <c r="K218" t="s">
        <v>18</v>
      </c>
    </row>
    <row r="219" spans="1:11" x14ac:dyDescent="0.25">
      <c r="A219" t="s">
        <v>438</v>
      </c>
      <c r="B219" s="2">
        <v>45671</v>
      </c>
      <c r="C219" t="s">
        <v>73</v>
      </c>
      <c r="D219" t="s">
        <v>64</v>
      </c>
      <c r="E219" t="s">
        <v>27</v>
      </c>
      <c r="F219">
        <v>166704.57</v>
      </c>
      <c r="G219" t="s">
        <v>38</v>
      </c>
      <c r="H219" t="s">
        <v>16</v>
      </c>
      <c r="I219" t="s">
        <v>17</v>
      </c>
      <c r="J219" t="s">
        <v>439</v>
      </c>
      <c r="K219" t="s">
        <v>18</v>
      </c>
    </row>
    <row r="220" spans="1:11" x14ac:dyDescent="0.25">
      <c r="A220" t="s">
        <v>440</v>
      </c>
      <c r="B220" s="2">
        <v>45405</v>
      </c>
      <c r="C220" t="s">
        <v>12</v>
      </c>
      <c r="D220" t="s">
        <v>21</v>
      </c>
      <c r="E220" t="s">
        <v>14</v>
      </c>
      <c r="F220">
        <v>227668</v>
      </c>
      <c r="G220" t="s">
        <v>15</v>
      </c>
      <c r="H220" t="s">
        <v>16</v>
      </c>
      <c r="I220" t="s">
        <v>17</v>
      </c>
      <c r="J220" t="s">
        <v>441</v>
      </c>
      <c r="K220" t="s">
        <v>18</v>
      </c>
    </row>
    <row r="221" spans="1:11" x14ac:dyDescent="0.25">
      <c r="A221" t="s">
        <v>442</v>
      </c>
      <c r="B221" s="2">
        <v>45987</v>
      </c>
      <c r="C221" t="s">
        <v>73</v>
      </c>
      <c r="D221" t="s">
        <v>64</v>
      </c>
      <c r="E221" t="s">
        <v>53</v>
      </c>
      <c r="F221">
        <v>132256.87</v>
      </c>
      <c r="G221" t="s">
        <v>28</v>
      </c>
      <c r="H221" t="s">
        <v>16</v>
      </c>
      <c r="I221" t="s">
        <v>17</v>
      </c>
      <c r="J221" t="s">
        <v>443</v>
      </c>
      <c r="K221" t="s">
        <v>18</v>
      </c>
    </row>
    <row r="222" spans="1:11" x14ac:dyDescent="0.25">
      <c r="A222" t="s">
        <v>444</v>
      </c>
      <c r="B222" s="2">
        <v>45158</v>
      </c>
      <c r="C222" t="s">
        <v>12</v>
      </c>
      <c r="D222" t="s">
        <v>64</v>
      </c>
      <c r="E222" t="s">
        <v>41</v>
      </c>
      <c r="F222">
        <v>125991.99</v>
      </c>
      <c r="G222" t="s">
        <v>38</v>
      </c>
      <c r="H222" t="s">
        <v>16</v>
      </c>
      <c r="I222" t="s">
        <v>17</v>
      </c>
      <c r="J222" t="s">
        <v>445</v>
      </c>
      <c r="K222" t="s">
        <v>30</v>
      </c>
    </row>
    <row r="223" spans="1:11" x14ac:dyDescent="0.25">
      <c r="A223" t="s">
        <v>446</v>
      </c>
      <c r="B223" s="2">
        <v>45789</v>
      </c>
      <c r="C223" t="s">
        <v>59</v>
      </c>
      <c r="D223" t="s">
        <v>13</v>
      </c>
      <c r="E223" t="s">
        <v>156</v>
      </c>
      <c r="F223">
        <v>64562.41</v>
      </c>
      <c r="G223" t="s">
        <v>28</v>
      </c>
      <c r="H223" t="s">
        <v>16</v>
      </c>
      <c r="I223" t="s">
        <v>17</v>
      </c>
      <c r="K223" t="s">
        <v>18</v>
      </c>
    </row>
    <row r="224" spans="1:11" x14ac:dyDescent="0.25">
      <c r="A224" t="s">
        <v>447</v>
      </c>
      <c r="B224" s="2">
        <v>45638</v>
      </c>
      <c r="C224" t="s">
        <v>73</v>
      </c>
      <c r="D224" t="s">
        <v>46</v>
      </c>
      <c r="E224" t="s">
        <v>140</v>
      </c>
      <c r="F224">
        <v>86636.96</v>
      </c>
      <c r="G224" t="s">
        <v>38</v>
      </c>
      <c r="H224" t="s">
        <v>16</v>
      </c>
      <c r="I224" t="s">
        <v>17</v>
      </c>
      <c r="J224" t="s">
        <v>448</v>
      </c>
      <c r="K224" t="s">
        <v>30</v>
      </c>
    </row>
    <row r="225" spans="1:11" x14ac:dyDescent="0.25">
      <c r="A225" t="s">
        <v>40</v>
      </c>
      <c r="B225" s="2">
        <v>45214</v>
      </c>
      <c r="C225" t="s">
        <v>20</v>
      </c>
      <c r="D225" t="s">
        <v>64</v>
      </c>
      <c r="E225" t="s">
        <v>53</v>
      </c>
      <c r="G225" t="s">
        <v>38</v>
      </c>
      <c r="H225" t="s">
        <v>16</v>
      </c>
      <c r="I225" t="s">
        <v>17</v>
      </c>
      <c r="J225" t="s">
        <v>449</v>
      </c>
      <c r="K225" t="s">
        <v>18</v>
      </c>
    </row>
    <row r="226" spans="1:11" x14ac:dyDescent="0.25">
      <c r="A226" t="s">
        <v>450</v>
      </c>
      <c r="B226" s="2">
        <v>44983</v>
      </c>
      <c r="C226" t="s">
        <v>73</v>
      </c>
      <c r="D226" t="s">
        <v>26</v>
      </c>
      <c r="E226" t="s">
        <v>44</v>
      </c>
      <c r="F226">
        <v>86814.35</v>
      </c>
      <c r="G226" t="s">
        <v>28</v>
      </c>
      <c r="H226" t="s">
        <v>16</v>
      </c>
      <c r="I226" t="s">
        <v>17</v>
      </c>
      <c r="J226" t="s">
        <v>451</v>
      </c>
      <c r="K226" t="s">
        <v>30</v>
      </c>
    </row>
    <row r="227" spans="1:11" x14ac:dyDescent="0.25">
      <c r="A227" t="s">
        <v>452</v>
      </c>
      <c r="B227" s="2">
        <v>45148</v>
      </c>
      <c r="C227" t="s">
        <v>12</v>
      </c>
      <c r="D227" t="s">
        <v>37</v>
      </c>
      <c r="E227" t="s">
        <v>22</v>
      </c>
      <c r="F227">
        <v>106777.46</v>
      </c>
      <c r="G227" t="s">
        <v>28</v>
      </c>
      <c r="H227" t="s">
        <v>16</v>
      </c>
      <c r="I227" t="s">
        <v>17</v>
      </c>
      <c r="J227" t="s">
        <v>453</v>
      </c>
      <c r="K227" t="s">
        <v>18</v>
      </c>
    </row>
    <row r="228" spans="1:11" x14ac:dyDescent="0.25">
      <c r="A228" t="s">
        <v>454</v>
      </c>
      <c r="B228" s="2">
        <v>44966</v>
      </c>
      <c r="C228" t="s">
        <v>25</v>
      </c>
      <c r="D228" t="s">
        <v>26</v>
      </c>
      <c r="E228" t="s">
        <v>44</v>
      </c>
      <c r="F228">
        <v>22930.81</v>
      </c>
      <c r="G228" t="s">
        <v>28</v>
      </c>
      <c r="H228" t="s">
        <v>16</v>
      </c>
      <c r="I228" t="s">
        <v>17</v>
      </c>
      <c r="J228" t="s">
        <v>455</v>
      </c>
      <c r="K228" t="s">
        <v>30</v>
      </c>
    </row>
    <row r="229" spans="1:11" x14ac:dyDescent="0.25">
      <c r="A229" t="s">
        <v>456</v>
      </c>
      <c r="B229" s="2">
        <v>45329</v>
      </c>
      <c r="C229" t="s">
        <v>25</v>
      </c>
      <c r="D229" t="s">
        <v>46</v>
      </c>
      <c r="E229" t="s">
        <v>22</v>
      </c>
      <c r="F229">
        <v>173163.2</v>
      </c>
      <c r="G229" t="s">
        <v>38</v>
      </c>
      <c r="H229" t="s">
        <v>16</v>
      </c>
      <c r="I229" t="s">
        <v>17</v>
      </c>
      <c r="J229" t="s">
        <v>457</v>
      </c>
      <c r="K229" t="s">
        <v>18</v>
      </c>
    </row>
    <row r="230" spans="1:11" x14ac:dyDescent="0.25">
      <c r="A230" t="s">
        <v>458</v>
      </c>
      <c r="B230" s="2">
        <v>45837</v>
      </c>
      <c r="C230" t="s">
        <v>20</v>
      </c>
      <c r="D230" t="s">
        <v>46</v>
      </c>
      <c r="E230" t="s">
        <v>41</v>
      </c>
      <c r="F230">
        <v>174388.8</v>
      </c>
      <c r="G230" t="s">
        <v>38</v>
      </c>
      <c r="H230" t="s">
        <v>16</v>
      </c>
      <c r="I230" t="s">
        <v>17</v>
      </c>
      <c r="J230" t="s">
        <v>459</v>
      </c>
      <c r="K230" t="s">
        <v>18</v>
      </c>
    </row>
    <row r="231" spans="1:11" x14ac:dyDescent="0.25">
      <c r="A231" t="s">
        <v>460</v>
      </c>
      <c r="B231" s="2">
        <v>45480</v>
      </c>
      <c r="C231" t="s">
        <v>25</v>
      </c>
      <c r="D231" t="s">
        <v>60</v>
      </c>
      <c r="E231" t="s">
        <v>14</v>
      </c>
      <c r="F231">
        <v>112978.63</v>
      </c>
      <c r="G231" t="s">
        <v>28</v>
      </c>
      <c r="H231" t="s">
        <v>16</v>
      </c>
      <c r="I231" t="s">
        <v>17</v>
      </c>
      <c r="J231" t="s">
        <v>461</v>
      </c>
      <c r="K231" t="s">
        <v>18</v>
      </c>
    </row>
    <row r="232" spans="1:11" x14ac:dyDescent="0.25">
      <c r="A232" t="s">
        <v>462</v>
      </c>
      <c r="B232" s="2">
        <v>45906</v>
      </c>
      <c r="C232" t="s">
        <v>12</v>
      </c>
      <c r="D232" t="s">
        <v>60</v>
      </c>
      <c r="E232" t="s">
        <v>44</v>
      </c>
      <c r="F232">
        <v>250986.92</v>
      </c>
      <c r="G232" t="s">
        <v>38</v>
      </c>
      <c r="H232" t="s">
        <v>16</v>
      </c>
      <c r="I232" t="s">
        <v>17</v>
      </c>
      <c r="J232" t="s">
        <v>463</v>
      </c>
      <c r="K232" t="s">
        <v>18</v>
      </c>
    </row>
    <row r="233" spans="1:11" x14ac:dyDescent="0.25">
      <c r="A233" t="s">
        <v>464</v>
      </c>
      <c r="B233" s="2">
        <v>45824</v>
      </c>
      <c r="C233" t="s">
        <v>59</v>
      </c>
      <c r="D233" t="s">
        <v>60</v>
      </c>
      <c r="E233" t="s">
        <v>14</v>
      </c>
      <c r="F233">
        <v>178725.47</v>
      </c>
      <c r="G233" t="s">
        <v>38</v>
      </c>
      <c r="H233" t="s">
        <v>16</v>
      </c>
      <c r="I233" t="s">
        <v>17</v>
      </c>
      <c r="J233" t="s">
        <v>465</v>
      </c>
      <c r="K233" t="s">
        <v>18</v>
      </c>
    </row>
    <row r="234" spans="1:11" x14ac:dyDescent="0.25">
      <c r="A234" t="s">
        <v>466</v>
      </c>
      <c r="B234" s="2">
        <v>45139</v>
      </c>
      <c r="C234" t="s">
        <v>20</v>
      </c>
      <c r="D234" t="s">
        <v>21</v>
      </c>
      <c r="E234" t="s">
        <v>27</v>
      </c>
      <c r="F234">
        <v>138326.13</v>
      </c>
      <c r="G234" t="s">
        <v>15</v>
      </c>
      <c r="H234" t="s">
        <v>16</v>
      </c>
      <c r="I234" t="s">
        <v>17</v>
      </c>
      <c r="J234" t="s">
        <v>467</v>
      </c>
      <c r="K234" t="s">
        <v>18</v>
      </c>
    </row>
    <row r="235" spans="1:11" x14ac:dyDescent="0.25">
      <c r="A235" t="s">
        <v>468</v>
      </c>
      <c r="B235" s="2">
        <v>45215</v>
      </c>
      <c r="C235" t="s">
        <v>20</v>
      </c>
      <c r="D235" t="s">
        <v>21</v>
      </c>
      <c r="E235" t="s">
        <v>41</v>
      </c>
      <c r="F235">
        <v>230407.41</v>
      </c>
      <c r="G235" t="s">
        <v>15</v>
      </c>
      <c r="H235" t="s">
        <v>16</v>
      </c>
      <c r="I235" t="s">
        <v>17</v>
      </c>
      <c r="J235" t="s">
        <v>469</v>
      </c>
      <c r="K235" t="s">
        <v>30</v>
      </c>
    </row>
    <row r="236" spans="1:11" x14ac:dyDescent="0.25">
      <c r="A236" t="s">
        <v>470</v>
      </c>
      <c r="B236" s="2">
        <v>46003</v>
      </c>
      <c r="C236" t="s">
        <v>12</v>
      </c>
      <c r="D236" t="s">
        <v>60</v>
      </c>
      <c r="E236" t="s">
        <v>22</v>
      </c>
      <c r="F236">
        <v>53019.14</v>
      </c>
      <c r="G236" t="s">
        <v>15</v>
      </c>
      <c r="H236" t="s">
        <v>16</v>
      </c>
      <c r="I236" t="s">
        <v>17</v>
      </c>
      <c r="J236" t="s">
        <v>471</v>
      </c>
      <c r="K236" t="s">
        <v>18</v>
      </c>
    </row>
    <row r="237" spans="1:11" x14ac:dyDescent="0.25">
      <c r="A237" t="s">
        <v>472</v>
      </c>
      <c r="B237" s="2">
        <v>45395</v>
      </c>
      <c r="C237" t="s">
        <v>12</v>
      </c>
      <c r="D237" t="s">
        <v>64</v>
      </c>
      <c r="E237" t="s">
        <v>53</v>
      </c>
      <c r="F237">
        <v>142742.18</v>
      </c>
      <c r="G237" t="s">
        <v>15</v>
      </c>
      <c r="H237" t="s">
        <v>16</v>
      </c>
      <c r="I237" t="s">
        <v>17</v>
      </c>
      <c r="J237" t="s">
        <v>473</v>
      </c>
      <c r="K237" t="s">
        <v>18</v>
      </c>
    </row>
    <row r="238" spans="1:11" x14ac:dyDescent="0.25">
      <c r="A238" t="s">
        <v>474</v>
      </c>
      <c r="B238" s="2">
        <v>45684</v>
      </c>
      <c r="C238" t="s">
        <v>12</v>
      </c>
      <c r="D238" t="s">
        <v>37</v>
      </c>
      <c r="E238" t="s">
        <v>22</v>
      </c>
      <c r="F238">
        <v>68374.16</v>
      </c>
      <c r="G238" t="s">
        <v>28</v>
      </c>
      <c r="H238" t="s">
        <v>16</v>
      </c>
      <c r="I238" t="s">
        <v>17</v>
      </c>
      <c r="J238" t="s">
        <v>475</v>
      </c>
      <c r="K238" t="s">
        <v>30</v>
      </c>
    </row>
    <row r="239" spans="1:11" x14ac:dyDescent="0.25">
      <c r="A239" t="s">
        <v>476</v>
      </c>
      <c r="B239" s="2">
        <v>44938</v>
      </c>
      <c r="C239" t="s">
        <v>12</v>
      </c>
      <c r="D239" t="s">
        <v>60</v>
      </c>
      <c r="E239" t="s">
        <v>14</v>
      </c>
      <c r="F239">
        <v>160237.85</v>
      </c>
      <c r="G239" t="s">
        <v>28</v>
      </c>
      <c r="H239" t="s">
        <v>16</v>
      </c>
      <c r="I239" t="s">
        <v>17</v>
      </c>
      <c r="J239" t="s">
        <v>477</v>
      </c>
      <c r="K239" t="s">
        <v>18</v>
      </c>
    </row>
    <row r="240" spans="1:11" x14ac:dyDescent="0.25">
      <c r="A240" t="s">
        <v>478</v>
      </c>
      <c r="B240" s="2">
        <v>45654</v>
      </c>
      <c r="C240" t="s">
        <v>12</v>
      </c>
      <c r="D240" t="s">
        <v>21</v>
      </c>
      <c r="E240" t="s">
        <v>44</v>
      </c>
      <c r="F240">
        <v>44689.37</v>
      </c>
      <c r="G240" t="s">
        <v>38</v>
      </c>
      <c r="H240" t="s">
        <v>16</v>
      </c>
      <c r="I240" t="s">
        <v>17</v>
      </c>
      <c r="J240" t="s">
        <v>479</v>
      </c>
      <c r="K240" t="s">
        <v>18</v>
      </c>
    </row>
    <row r="241" spans="1:11" x14ac:dyDescent="0.25">
      <c r="A241" t="s">
        <v>480</v>
      </c>
      <c r="B241" s="2">
        <v>45085</v>
      </c>
      <c r="C241" t="s">
        <v>20</v>
      </c>
      <c r="D241" t="s">
        <v>21</v>
      </c>
      <c r="E241" t="s">
        <v>27</v>
      </c>
      <c r="F241">
        <v>10152.799999999999</v>
      </c>
      <c r="G241" t="s">
        <v>15</v>
      </c>
      <c r="H241" t="s">
        <v>16</v>
      </c>
      <c r="I241" t="s">
        <v>17</v>
      </c>
      <c r="J241" t="s">
        <v>481</v>
      </c>
      <c r="K241" t="s">
        <v>18</v>
      </c>
    </row>
    <row r="242" spans="1:11" x14ac:dyDescent="0.25">
      <c r="A242" t="s">
        <v>482</v>
      </c>
      <c r="B242" s="2">
        <v>45034</v>
      </c>
      <c r="C242" t="s">
        <v>25</v>
      </c>
      <c r="D242" t="s">
        <v>37</v>
      </c>
      <c r="E242" t="s">
        <v>44</v>
      </c>
      <c r="F242">
        <v>106027.7</v>
      </c>
      <c r="G242" t="s">
        <v>15</v>
      </c>
      <c r="H242" t="s">
        <v>16</v>
      </c>
      <c r="I242" t="s">
        <v>17</v>
      </c>
      <c r="J242" t="s">
        <v>483</v>
      </c>
      <c r="K242" t="s">
        <v>18</v>
      </c>
    </row>
    <row r="243" spans="1:11" x14ac:dyDescent="0.25">
      <c r="A243" t="s">
        <v>40</v>
      </c>
      <c r="B243" s="2">
        <v>45752</v>
      </c>
      <c r="C243" t="s">
        <v>20</v>
      </c>
      <c r="D243" t="s">
        <v>46</v>
      </c>
      <c r="E243" t="s">
        <v>22</v>
      </c>
      <c r="F243">
        <v>260374.09</v>
      </c>
      <c r="G243" t="s">
        <v>38</v>
      </c>
      <c r="H243" t="s">
        <v>16</v>
      </c>
      <c r="I243" t="s">
        <v>17</v>
      </c>
      <c r="J243" t="s">
        <v>484</v>
      </c>
      <c r="K243" t="s">
        <v>30</v>
      </c>
    </row>
    <row r="244" spans="1:11" x14ac:dyDescent="0.25">
      <c r="A244" t="s">
        <v>485</v>
      </c>
      <c r="B244" s="2">
        <v>45754</v>
      </c>
      <c r="C244" t="s">
        <v>73</v>
      </c>
      <c r="D244" t="s">
        <v>21</v>
      </c>
      <c r="E244" t="s">
        <v>140</v>
      </c>
      <c r="F244">
        <v>68077.850000000006</v>
      </c>
      <c r="G244" t="s">
        <v>38</v>
      </c>
      <c r="H244" t="s">
        <v>34</v>
      </c>
      <c r="I244" t="s">
        <v>17</v>
      </c>
      <c r="J244" t="s">
        <v>486</v>
      </c>
      <c r="K244" t="s">
        <v>18</v>
      </c>
    </row>
    <row r="245" spans="1:11" x14ac:dyDescent="0.25">
      <c r="A245" t="s">
        <v>487</v>
      </c>
      <c r="B245" s="2">
        <v>45184</v>
      </c>
      <c r="C245" t="s">
        <v>25</v>
      </c>
      <c r="D245" t="s">
        <v>13</v>
      </c>
      <c r="E245" t="s">
        <v>41</v>
      </c>
      <c r="F245">
        <v>189695.29</v>
      </c>
      <c r="G245" t="s">
        <v>38</v>
      </c>
      <c r="H245" t="s">
        <v>16</v>
      </c>
      <c r="I245" t="s">
        <v>17</v>
      </c>
      <c r="J245" t="s">
        <v>488</v>
      </c>
      <c r="K245" t="s">
        <v>18</v>
      </c>
    </row>
    <row r="246" spans="1:11" x14ac:dyDescent="0.25">
      <c r="A246" t="s">
        <v>40</v>
      </c>
      <c r="B246" s="2">
        <v>45532</v>
      </c>
      <c r="C246" t="s">
        <v>12</v>
      </c>
      <c r="D246" t="s">
        <v>64</v>
      </c>
      <c r="E246" t="s">
        <v>44</v>
      </c>
      <c r="F246">
        <v>34369.730000000003</v>
      </c>
      <c r="G246" t="s">
        <v>15</v>
      </c>
      <c r="H246" t="s">
        <v>16</v>
      </c>
      <c r="I246" t="s">
        <v>17</v>
      </c>
      <c r="J246" t="s">
        <v>489</v>
      </c>
      <c r="K246" t="s">
        <v>18</v>
      </c>
    </row>
    <row r="247" spans="1:11" x14ac:dyDescent="0.25">
      <c r="A247" t="s">
        <v>490</v>
      </c>
      <c r="B247" s="2">
        <v>45775</v>
      </c>
      <c r="C247" t="s">
        <v>12</v>
      </c>
      <c r="D247" t="s">
        <v>21</v>
      </c>
      <c r="E247" t="s">
        <v>44</v>
      </c>
      <c r="F247">
        <v>223783.06</v>
      </c>
      <c r="G247" t="s">
        <v>28</v>
      </c>
      <c r="H247" t="s">
        <v>16</v>
      </c>
      <c r="I247" t="s">
        <v>17</v>
      </c>
      <c r="J247" t="s">
        <v>491</v>
      </c>
      <c r="K247" t="s">
        <v>18</v>
      </c>
    </row>
    <row r="248" spans="1:11" x14ac:dyDescent="0.25">
      <c r="A248" t="s">
        <v>492</v>
      </c>
      <c r="B248" s="2">
        <v>45598</v>
      </c>
      <c r="C248" t="s">
        <v>25</v>
      </c>
      <c r="D248" t="s">
        <v>60</v>
      </c>
      <c r="E248" t="s">
        <v>27</v>
      </c>
      <c r="F248">
        <v>214288.31</v>
      </c>
      <c r="G248" t="s">
        <v>38</v>
      </c>
      <c r="H248" t="s">
        <v>16</v>
      </c>
      <c r="I248" t="s">
        <v>17</v>
      </c>
      <c r="J248" t="s">
        <v>493</v>
      </c>
      <c r="K248" t="s">
        <v>30</v>
      </c>
    </row>
    <row r="249" spans="1:11" x14ac:dyDescent="0.25">
      <c r="A249" t="s">
        <v>494</v>
      </c>
      <c r="B249" s="2">
        <v>45462</v>
      </c>
      <c r="C249" t="s">
        <v>59</v>
      </c>
      <c r="D249" t="s">
        <v>21</v>
      </c>
      <c r="E249" t="s">
        <v>41</v>
      </c>
      <c r="F249">
        <v>116135.85</v>
      </c>
      <c r="G249" t="s">
        <v>28</v>
      </c>
      <c r="H249" t="s">
        <v>16</v>
      </c>
      <c r="I249" t="s">
        <v>17</v>
      </c>
      <c r="J249" t="s">
        <v>495</v>
      </c>
      <c r="K249" t="s">
        <v>18</v>
      </c>
    </row>
    <row r="250" spans="1:11" x14ac:dyDescent="0.25">
      <c r="A250" t="s">
        <v>496</v>
      </c>
      <c r="B250" s="2">
        <v>45592</v>
      </c>
      <c r="C250" t="s">
        <v>73</v>
      </c>
      <c r="D250" t="s">
        <v>60</v>
      </c>
      <c r="E250" t="s">
        <v>44</v>
      </c>
      <c r="F250">
        <v>15725.08</v>
      </c>
      <c r="G250" t="s">
        <v>15</v>
      </c>
      <c r="H250" t="s">
        <v>16</v>
      </c>
      <c r="I250" t="s">
        <v>17</v>
      </c>
      <c r="J250" t="s">
        <v>497</v>
      </c>
      <c r="K250" t="s">
        <v>30</v>
      </c>
    </row>
    <row r="251" spans="1:11" x14ac:dyDescent="0.25">
      <c r="A251" t="s">
        <v>498</v>
      </c>
      <c r="B251" s="2">
        <v>44966</v>
      </c>
      <c r="C251" t="s">
        <v>12</v>
      </c>
      <c r="D251" t="s">
        <v>21</v>
      </c>
      <c r="E251" t="s">
        <v>41</v>
      </c>
      <c r="F251">
        <v>63063.72</v>
      </c>
      <c r="G251" t="s">
        <v>38</v>
      </c>
      <c r="H251" t="s">
        <v>16</v>
      </c>
      <c r="I251" t="s">
        <v>17</v>
      </c>
      <c r="J251" t="s">
        <v>499</v>
      </c>
      <c r="K251" t="s">
        <v>30</v>
      </c>
    </row>
    <row r="252" spans="1:11" x14ac:dyDescent="0.25">
      <c r="A252" t="s">
        <v>500</v>
      </c>
      <c r="B252" s="2">
        <v>45511</v>
      </c>
      <c r="C252" t="s">
        <v>12</v>
      </c>
      <c r="D252" t="s">
        <v>13</v>
      </c>
      <c r="E252" t="s">
        <v>41</v>
      </c>
      <c r="F252">
        <v>32814.9</v>
      </c>
      <c r="G252" t="s">
        <v>28</v>
      </c>
      <c r="H252" t="s">
        <v>16</v>
      </c>
      <c r="I252" t="s">
        <v>17</v>
      </c>
      <c r="J252" t="s">
        <v>501</v>
      </c>
      <c r="K252" t="s">
        <v>18</v>
      </c>
    </row>
    <row r="253" spans="1:11" x14ac:dyDescent="0.25">
      <c r="A253" t="s">
        <v>502</v>
      </c>
      <c r="B253" s="2">
        <v>45062</v>
      </c>
      <c r="C253" t="s">
        <v>25</v>
      </c>
      <c r="D253" t="s">
        <v>13</v>
      </c>
      <c r="E253" t="s">
        <v>41</v>
      </c>
      <c r="F253">
        <v>28777.57</v>
      </c>
      <c r="G253" t="s">
        <v>28</v>
      </c>
      <c r="H253" t="s">
        <v>16</v>
      </c>
      <c r="I253" t="s">
        <v>17</v>
      </c>
      <c r="J253" t="s">
        <v>503</v>
      </c>
      <c r="K253" t="s">
        <v>18</v>
      </c>
    </row>
    <row r="254" spans="1:11" x14ac:dyDescent="0.25">
      <c r="A254" t="s">
        <v>504</v>
      </c>
      <c r="B254" s="2">
        <v>45905</v>
      </c>
      <c r="C254" t="s">
        <v>12</v>
      </c>
      <c r="D254" t="s">
        <v>21</v>
      </c>
      <c r="E254" t="s">
        <v>14</v>
      </c>
      <c r="F254">
        <v>246620.68</v>
      </c>
      <c r="G254" t="s">
        <v>38</v>
      </c>
      <c r="H254" t="s">
        <v>16</v>
      </c>
      <c r="I254" t="s">
        <v>17</v>
      </c>
      <c r="J254" t="s">
        <v>505</v>
      </c>
      <c r="K254" t="s">
        <v>18</v>
      </c>
    </row>
    <row r="255" spans="1:11" x14ac:dyDescent="0.25">
      <c r="A255" t="s">
        <v>506</v>
      </c>
      <c r="B255" s="2">
        <v>45402</v>
      </c>
      <c r="C255" t="s">
        <v>25</v>
      </c>
      <c r="D255" t="s">
        <v>64</v>
      </c>
      <c r="E255" t="s">
        <v>140</v>
      </c>
      <c r="F255">
        <v>105272</v>
      </c>
      <c r="G255" t="s">
        <v>15</v>
      </c>
      <c r="H255" t="s">
        <v>16</v>
      </c>
      <c r="I255" t="s">
        <v>17</v>
      </c>
      <c r="J255" t="s">
        <v>507</v>
      </c>
      <c r="K255" t="s">
        <v>18</v>
      </c>
    </row>
    <row r="256" spans="1:11" x14ac:dyDescent="0.25">
      <c r="A256" t="s">
        <v>508</v>
      </c>
      <c r="B256" s="2">
        <v>45351</v>
      </c>
      <c r="C256" t="s">
        <v>12</v>
      </c>
      <c r="D256" t="s">
        <v>60</v>
      </c>
      <c r="E256" t="s">
        <v>22</v>
      </c>
      <c r="F256">
        <v>87871.88</v>
      </c>
      <c r="G256" t="s">
        <v>38</v>
      </c>
      <c r="H256" t="s">
        <v>16</v>
      </c>
      <c r="I256" t="s">
        <v>17</v>
      </c>
      <c r="J256" t="s">
        <v>509</v>
      </c>
      <c r="K256" t="s">
        <v>18</v>
      </c>
    </row>
    <row r="257" spans="1:11" x14ac:dyDescent="0.25">
      <c r="A257" t="s">
        <v>510</v>
      </c>
      <c r="B257" s="2">
        <v>44994</v>
      </c>
      <c r="C257" t="s">
        <v>12</v>
      </c>
      <c r="D257" t="s">
        <v>64</v>
      </c>
      <c r="E257" t="s">
        <v>41</v>
      </c>
      <c r="F257">
        <v>119774</v>
      </c>
      <c r="G257" t="s">
        <v>28</v>
      </c>
      <c r="H257" t="s">
        <v>16</v>
      </c>
      <c r="I257" t="s">
        <v>17</v>
      </c>
      <c r="J257" t="s">
        <v>511</v>
      </c>
      <c r="K257" t="s">
        <v>18</v>
      </c>
    </row>
    <row r="258" spans="1:11" x14ac:dyDescent="0.25">
      <c r="A258" t="s">
        <v>512</v>
      </c>
      <c r="B258" s="2">
        <v>44986</v>
      </c>
      <c r="C258" t="s">
        <v>73</v>
      </c>
      <c r="D258" t="s">
        <v>37</v>
      </c>
      <c r="E258" t="s">
        <v>22</v>
      </c>
      <c r="F258">
        <v>132308.01</v>
      </c>
      <c r="G258" t="s">
        <v>28</v>
      </c>
      <c r="H258" t="s">
        <v>16</v>
      </c>
      <c r="I258" t="s">
        <v>17</v>
      </c>
      <c r="J258" t="s">
        <v>513</v>
      </c>
      <c r="K258" t="s">
        <v>18</v>
      </c>
    </row>
    <row r="259" spans="1:11" x14ac:dyDescent="0.25">
      <c r="A259" t="s">
        <v>514</v>
      </c>
      <c r="B259" s="2">
        <v>45699</v>
      </c>
      <c r="C259" t="s">
        <v>12</v>
      </c>
      <c r="D259" t="s">
        <v>60</v>
      </c>
      <c r="E259" t="s">
        <v>44</v>
      </c>
      <c r="F259">
        <v>207248.07</v>
      </c>
      <c r="G259" t="s">
        <v>38</v>
      </c>
      <c r="H259" t="s">
        <v>16</v>
      </c>
      <c r="I259" t="s">
        <v>17</v>
      </c>
      <c r="K259" t="s">
        <v>30</v>
      </c>
    </row>
    <row r="260" spans="1:11" x14ac:dyDescent="0.25">
      <c r="A260" t="s">
        <v>515</v>
      </c>
      <c r="B260" s="2">
        <v>45459</v>
      </c>
      <c r="C260" t="s">
        <v>12</v>
      </c>
      <c r="D260" t="s">
        <v>26</v>
      </c>
      <c r="E260" t="s">
        <v>22</v>
      </c>
      <c r="F260">
        <v>25857.46</v>
      </c>
      <c r="G260" t="s">
        <v>28</v>
      </c>
      <c r="H260" t="s">
        <v>16</v>
      </c>
      <c r="I260" t="s">
        <v>17</v>
      </c>
      <c r="J260" t="s">
        <v>516</v>
      </c>
      <c r="K260" t="s">
        <v>18</v>
      </c>
    </row>
    <row r="261" spans="1:11" x14ac:dyDescent="0.25">
      <c r="A261" t="s">
        <v>517</v>
      </c>
      <c r="B261" s="2">
        <v>45146</v>
      </c>
      <c r="C261" t="s">
        <v>25</v>
      </c>
      <c r="D261" t="s">
        <v>46</v>
      </c>
      <c r="E261" t="s">
        <v>44</v>
      </c>
      <c r="F261">
        <v>172710.12</v>
      </c>
      <c r="G261" t="s">
        <v>38</v>
      </c>
      <c r="H261" t="s">
        <v>16</v>
      </c>
      <c r="I261" t="s">
        <v>17</v>
      </c>
      <c r="J261" t="s">
        <v>518</v>
      </c>
      <c r="K261" t="s">
        <v>18</v>
      </c>
    </row>
    <row r="262" spans="1:11" x14ac:dyDescent="0.25">
      <c r="A262" t="s">
        <v>40</v>
      </c>
      <c r="B262" s="2">
        <v>45781</v>
      </c>
      <c r="C262" t="s">
        <v>73</v>
      </c>
      <c r="D262" t="s">
        <v>60</v>
      </c>
      <c r="E262" t="s">
        <v>27</v>
      </c>
      <c r="F262">
        <v>57617.279999999999</v>
      </c>
      <c r="G262" t="s">
        <v>28</v>
      </c>
      <c r="H262" t="s">
        <v>16</v>
      </c>
      <c r="I262" t="s">
        <v>17</v>
      </c>
      <c r="J262" t="s">
        <v>519</v>
      </c>
      <c r="K262" t="s">
        <v>18</v>
      </c>
    </row>
    <row r="263" spans="1:11" x14ac:dyDescent="0.25">
      <c r="A263" t="s">
        <v>520</v>
      </c>
      <c r="B263" s="2">
        <v>45612</v>
      </c>
      <c r="C263" t="s">
        <v>20</v>
      </c>
      <c r="D263" t="s">
        <v>64</v>
      </c>
      <c r="E263" t="s">
        <v>27</v>
      </c>
      <c r="F263">
        <v>95932.05</v>
      </c>
      <c r="G263" t="s">
        <v>28</v>
      </c>
      <c r="H263" t="s">
        <v>16</v>
      </c>
      <c r="I263" t="s">
        <v>17</v>
      </c>
      <c r="J263" t="s">
        <v>521</v>
      </c>
      <c r="K263" t="s">
        <v>18</v>
      </c>
    </row>
    <row r="264" spans="1:11" x14ac:dyDescent="0.25">
      <c r="A264" t="s">
        <v>522</v>
      </c>
      <c r="B264" s="2">
        <v>45632</v>
      </c>
      <c r="C264" t="s">
        <v>25</v>
      </c>
      <c r="D264" t="s">
        <v>37</v>
      </c>
      <c r="E264" t="s">
        <v>41</v>
      </c>
      <c r="F264">
        <v>178196.71</v>
      </c>
      <c r="G264" t="s">
        <v>28</v>
      </c>
      <c r="H264" t="s">
        <v>16</v>
      </c>
      <c r="I264" t="s">
        <v>17</v>
      </c>
      <c r="J264" t="s">
        <v>523</v>
      </c>
      <c r="K264" t="s">
        <v>18</v>
      </c>
    </row>
    <row r="265" spans="1:11" x14ac:dyDescent="0.25">
      <c r="A265" t="s">
        <v>524</v>
      </c>
      <c r="B265" s="2">
        <v>45850</v>
      </c>
      <c r="C265" t="s">
        <v>73</v>
      </c>
      <c r="D265" t="s">
        <v>64</v>
      </c>
      <c r="E265" t="s">
        <v>22</v>
      </c>
      <c r="F265">
        <v>244584.81</v>
      </c>
      <c r="G265" t="s">
        <v>38</v>
      </c>
      <c r="H265" t="s">
        <v>34</v>
      </c>
      <c r="I265" t="s">
        <v>17</v>
      </c>
      <c r="J265" t="s">
        <v>525</v>
      </c>
      <c r="K265" t="s">
        <v>30</v>
      </c>
    </row>
    <row r="266" spans="1:11" x14ac:dyDescent="0.25">
      <c r="A266" t="s">
        <v>526</v>
      </c>
      <c r="B266" s="2">
        <v>45533</v>
      </c>
      <c r="C266" t="s">
        <v>20</v>
      </c>
      <c r="D266" t="s">
        <v>21</v>
      </c>
      <c r="E266" t="s">
        <v>44</v>
      </c>
      <c r="F266">
        <v>152204.22</v>
      </c>
      <c r="G266" t="s">
        <v>15</v>
      </c>
      <c r="H266" t="s">
        <v>16</v>
      </c>
      <c r="I266" t="s">
        <v>17</v>
      </c>
      <c r="J266" t="s">
        <v>527</v>
      </c>
      <c r="K266" t="s">
        <v>18</v>
      </c>
    </row>
    <row r="267" spans="1:11" x14ac:dyDescent="0.25">
      <c r="A267" t="s">
        <v>528</v>
      </c>
      <c r="B267" s="2">
        <v>45500</v>
      </c>
      <c r="C267" t="s">
        <v>12</v>
      </c>
      <c r="D267" t="s">
        <v>13</v>
      </c>
      <c r="E267" t="s">
        <v>14</v>
      </c>
      <c r="F267">
        <v>47684.21</v>
      </c>
      <c r="G267" t="s">
        <v>38</v>
      </c>
      <c r="H267" t="s">
        <v>16</v>
      </c>
      <c r="I267" t="s">
        <v>17</v>
      </c>
      <c r="K267" t="s">
        <v>18</v>
      </c>
    </row>
    <row r="268" spans="1:11" x14ac:dyDescent="0.25">
      <c r="A268" t="s">
        <v>529</v>
      </c>
      <c r="B268" s="2">
        <v>45390</v>
      </c>
      <c r="C268" t="s">
        <v>25</v>
      </c>
      <c r="D268" t="s">
        <v>21</v>
      </c>
      <c r="E268" t="s">
        <v>44</v>
      </c>
      <c r="F268">
        <v>58414.01</v>
      </c>
      <c r="G268" t="s">
        <v>38</v>
      </c>
      <c r="H268" t="s">
        <v>16</v>
      </c>
      <c r="I268" t="s">
        <v>17</v>
      </c>
      <c r="J268" t="s">
        <v>530</v>
      </c>
      <c r="K268" t="s">
        <v>18</v>
      </c>
    </row>
    <row r="269" spans="1:11" x14ac:dyDescent="0.25">
      <c r="A269" t="s">
        <v>531</v>
      </c>
      <c r="B269" s="2">
        <v>44987</v>
      </c>
      <c r="C269" t="s">
        <v>12</v>
      </c>
      <c r="D269" t="s">
        <v>26</v>
      </c>
      <c r="E269" t="s">
        <v>22</v>
      </c>
      <c r="F269">
        <v>104437.31</v>
      </c>
      <c r="G269" t="s">
        <v>15</v>
      </c>
      <c r="H269" t="s">
        <v>16</v>
      </c>
      <c r="I269" t="s">
        <v>17</v>
      </c>
      <c r="J269" t="s">
        <v>532</v>
      </c>
      <c r="K269" t="s">
        <v>30</v>
      </c>
    </row>
    <row r="270" spans="1:11" x14ac:dyDescent="0.25">
      <c r="A270" t="s">
        <v>533</v>
      </c>
      <c r="B270" s="2">
        <v>45216</v>
      </c>
      <c r="C270" t="s">
        <v>25</v>
      </c>
      <c r="D270" t="s">
        <v>46</v>
      </c>
      <c r="E270" t="s">
        <v>53</v>
      </c>
      <c r="F270">
        <v>132584.1</v>
      </c>
      <c r="G270" t="s">
        <v>15</v>
      </c>
      <c r="H270" t="s">
        <v>16</v>
      </c>
      <c r="I270" t="s">
        <v>17</v>
      </c>
      <c r="J270" t="s">
        <v>534</v>
      </c>
      <c r="K270" t="s">
        <v>30</v>
      </c>
    </row>
    <row r="271" spans="1:11" x14ac:dyDescent="0.25">
      <c r="A271" t="s">
        <v>535</v>
      </c>
      <c r="B271" s="2">
        <v>45400</v>
      </c>
      <c r="C271" t="s">
        <v>20</v>
      </c>
      <c r="D271" t="s">
        <v>46</v>
      </c>
      <c r="E271" t="s">
        <v>14</v>
      </c>
      <c r="F271">
        <v>30145.46</v>
      </c>
      <c r="G271" t="s">
        <v>15</v>
      </c>
      <c r="H271" t="s">
        <v>16</v>
      </c>
      <c r="I271" t="s">
        <v>17</v>
      </c>
      <c r="J271" t="s">
        <v>536</v>
      </c>
      <c r="K271" t="s">
        <v>18</v>
      </c>
    </row>
    <row r="272" spans="1:11" x14ac:dyDescent="0.25">
      <c r="A272" t="s">
        <v>537</v>
      </c>
      <c r="B272" s="2">
        <v>45860</v>
      </c>
      <c r="C272" t="s">
        <v>12</v>
      </c>
      <c r="D272" t="s">
        <v>21</v>
      </c>
      <c r="E272" t="s">
        <v>22</v>
      </c>
      <c r="F272">
        <v>107642.67</v>
      </c>
      <c r="G272" t="s">
        <v>28</v>
      </c>
      <c r="H272" t="s">
        <v>16</v>
      </c>
      <c r="I272" t="s">
        <v>17</v>
      </c>
      <c r="J272" t="s">
        <v>538</v>
      </c>
      <c r="K272" t="s">
        <v>18</v>
      </c>
    </row>
    <row r="273" spans="1:11" x14ac:dyDescent="0.25">
      <c r="A273" t="s">
        <v>539</v>
      </c>
      <c r="B273" s="2">
        <v>45985</v>
      </c>
      <c r="C273" t="s">
        <v>73</v>
      </c>
      <c r="D273" t="s">
        <v>60</v>
      </c>
      <c r="E273" t="s">
        <v>22</v>
      </c>
      <c r="F273">
        <v>246835.20000000001</v>
      </c>
      <c r="G273" t="s">
        <v>15</v>
      </c>
      <c r="H273" t="s">
        <v>16</v>
      </c>
      <c r="I273" t="s">
        <v>17</v>
      </c>
      <c r="J273" t="s">
        <v>540</v>
      </c>
      <c r="K273" t="s">
        <v>18</v>
      </c>
    </row>
    <row r="274" spans="1:11" x14ac:dyDescent="0.25">
      <c r="A274" t="s">
        <v>541</v>
      </c>
      <c r="B274" s="2">
        <v>44967</v>
      </c>
      <c r="C274" t="s">
        <v>73</v>
      </c>
      <c r="D274" t="s">
        <v>26</v>
      </c>
      <c r="E274" t="s">
        <v>44</v>
      </c>
      <c r="F274">
        <v>103216.78</v>
      </c>
      <c r="G274" t="s">
        <v>38</v>
      </c>
      <c r="H274" t="s">
        <v>16</v>
      </c>
      <c r="I274" t="s">
        <v>17</v>
      </c>
      <c r="J274" t="s">
        <v>542</v>
      </c>
      <c r="K274" t="s">
        <v>18</v>
      </c>
    </row>
    <row r="275" spans="1:11" x14ac:dyDescent="0.25">
      <c r="A275" t="s">
        <v>543</v>
      </c>
      <c r="B275" s="2">
        <v>45692</v>
      </c>
      <c r="C275" t="s">
        <v>12</v>
      </c>
      <c r="D275" t="s">
        <v>64</v>
      </c>
      <c r="E275" t="s">
        <v>44</v>
      </c>
      <c r="F275">
        <v>143093.24</v>
      </c>
      <c r="G275" t="s">
        <v>38</v>
      </c>
      <c r="H275" t="s">
        <v>16</v>
      </c>
      <c r="I275" t="s">
        <v>17</v>
      </c>
      <c r="J275" t="s">
        <v>544</v>
      </c>
      <c r="K275" t="s">
        <v>18</v>
      </c>
    </row>
    <row r="276" spans="1:11" x14ac:dyDescent="0.25">
      <c r="A276" t="s">
        <v>545</v>
      </c>
      <c r="B276" s="2">
        <v>45117</v>
      </c>
      <c r="C276" t="s">
        <v>12</v>
      </c>
      <c r="D276" t="s">
        <v>13</v>
      </c>
      <c r="E276" t="s">
        <v>44</v>
      </c>
      <c r="F276">
        <v>18210.189999999999</v>
      </c>
      <c r="G276" t="s">
        <v>15</v>
      </c>
      <c r="H276" t="s">
        <v>34</v>
      </c>
      <c r="I276" t="s">
        <v>17</v>
      </c>
      <c r="J276" t="s">
        <v>546</v>
      </c>
      <c r="K276" t="s">
        <v>18</v>
      </c>
    </row>
    <row r="277" spans="1:11" x14ac:dyDescent="0.25">
      <c r="A277" t="s">
        <v>547</v>
      </c>
      <c r="B277" s="2">
        <v>45068</v>
      </c>
      <c r="C277" t="s">
        <v>20</v>
      </c>
      <c r="D277" t="s">
        <v>21</v>
      </c>
      <c r="E277" t="s">
        <v>156</v>
      </c>
      <c r="F277">
        <v>99143.9</v>
      </c>
      <c r="G277" t="s">
        <v>28</v>
      </c>
      <c r="H277" t="s">
        <v>16</v>
      </c>
      <c r="I277" t="s">
        <v>17</v>
      </c>
      <c r="J277" t="s">
        <v>548</v>
      </c>
      <c r="K277" t="s">
        <v>30</v>
      </c>
    </row>
    <row r="278" spans="1:11" x14ac:dyDescent="0.25">
      <c r="A278" t="s">
        <v>549</v>
      </c>
      <c r="B278" s="2">
        <v>45834</v>
      </c>
      <c r="C278" t="s">
        <v>12</v>
      </c>
      <c r="D278" t="s">
        <v>37</v>
      </c>
      <c r="E278" t="s">
        <v>14</v>
      </c>
      <c r="F278">
        <v>253943.37</v>
      </c>
      <c r="G278" t="s">
        <v>38</v>
      </c>
      <c r="H278" t="s">
        <v>16</v>
      </c>
      <c r="I278" t="s">
        <v>17</v>
      </c>
      <c r="J278" t="s">
        <v>550</v>
      </c>
      <c r="K278" t="s">
        <v>18</v>
      </c>
    </row>
    <row r="279" spans="1:11" x14ac:dyDescent="0.25">
      <c r="A279" t="s">
        <v>551</v>
      </c>
      <c r="B279" s="2">
        <v>45872</v>
      </c>
      <c r="C279" t="s">
        <v>20</v>
      </c>
      <c r="D279" t="s">
        <v>60</v>
      </c>
      <c r="E279" t="s">
        <v>22</v>
      </c>
      <c r="F279">
        <v>94071.22</v>
      </c>
      <c r="G279" t="s">
        <v>38</v>
      </c>
      <c r="H279" t="s">
        <v>16</v>
      </c>
      <c r="I279" t="s">
        <v>17</v>
      </c>
      <c r="J279" t="s">
        <v>552</v>
      </c>
      <c r="K279" t="s">
        <v>30</v>
      </c>
    </row>
    <row r="280" spans="1:11" x14ac:dyDescent="0.25">
      <c r="A280" t="s">
        <v>553</v>
      </c>
      <c r="B280" s="2">
        <v>45149</v>
      </c>
      <c r="C280" t="s">
        <v>20</v>
      </c>
      <c r="D280" t="s">
        <v>64</v>
      </c>
      <c r="E280" t="s">
        <v>27</v>
      </c>
      <c r="F280">
        <v>271019.51</v>
      </c>
      <c r="G280" t="s">
        <v>38</v>
      </c>
      <c r="H280" t="s">
        <v>16</v>
      </c>
      <c r="I280" t="s">
        <v>17</v>
      </c>
      <c r="J280" t="s">
        <v>554</v>
      </c>
      <c r="K280" t="s">
        <v>30</v>
      </c>
    </row>
    <row r="281" spans="1:11" x14ac:dyDescent="0.25">
      <c r="A281" t="s">
        <v>555</v>
      </c>
      <c r="B281" s="2">
        <v>45993</v>
      </c>
      <c r="C281" t="s">
        <v>20</v>
      </c>
      <c r="D281" t="s">
        <v>26</v>
      </c>
      <c r="E281" t="s">
        <v>22</v>
      </c>
      <c r="F281">
        <v>120788.96</v>
      </c>
      <c r="G281" t="s">
        <v>15</v>
      </c>
      <c r="H281" t="s">
        <v>16</v>
      </c>
      <c r="I281" t="s">
        <v>17</v>
      </c>
      <c r="J281" t="s">
        <v>556</v>
      </c>
      <c r="K281" t="s">
        <v>30</v>
      </c>
    </row>
    <row r="282" spans="1:11" x14ac:dyDescent="0.25">
      <c r="A282" t="s">
        <v>557</v>
      </c>
      <c r="B282" s="2">
        <v>45548</v>
      </c>
      <c r="C282" t="s">
        <v>12</v>
      </c>
      <c r="D282" t="s">
        <v>26</v>
      </c>
      <c r="E282" t="s">
        <v>44</v>
      </c>
      <c r="F282">
        <v>163454.76999999999</v>
      </c>
      <c r="G282" t="s">
        <v>38</v>
      </c>
      <c r="H282" t="s">
        <v>16</v>
      </c>
      <c r="I282" t="s">
        <v>17</v>
      </c>
      <c r="J282" t="s">
        <v>558</v>
      </c>
      <c r="K282" t="s">
        <v>30</v>
      </c>
    </row>
    <row r="283" spans="1:11" x14ac:dyDescent="0.25">
      <c r="A283" t="s">
        <v>40</v>
      </c>
      <c r="B283" s="2">
        <v>45135</v>
      </c>
      <c r="C283" t="s">
        <v>25</v>
      </c>
      <c r="D283" t="s">
        <v>26</v>
      </c>
      <c r="E283" t="s">
        <v>27</v>
      </c>
      <c r="F283">
        <v>207940.51</v>
      </c>
      <c r="G283" t="s">
        <v>15</v>
      </c>
      <c r="H283" t="s">
        <v>16</v>
      </c>
      <c r="I283" t="s">
        <v>17</v>
      </c>
      <c r="J283" t="s">
        <v>559</v>
      </c>
      <c r="K283" t="s">
        <v>18</v>
      </c>
    </row>
    <row r="284" spans="1:11" x14ac:dyDescent="0.25">
      <c r="A284" t="s">
        <v>560</v>
      </c>
      <c r="B284" s="2">
        <v>45296</v>
      </c>
      <c r="C284" t="s">
        <v>12</v>
      </c>
      <c r="D284" t="s">
        <v>26</v>
      </c>
      <c r="E284" t="s">
        <v>41</v>
      </c>
      <c r="F284">
        <v>121985.83</v>
      </c>
      <c r="G284" t="s">
        <v>28</v>
      </c>
      <c r="H284" t="s">
        <v>34</v>
      </c>
      <c r="I284" t="s">
        <v>17</v>
      </c>
      <c r="J284" t="s">
        <v>561</v>
      </c>
      <c r="K284" t="s">
        <v>18</v>
      </c>
    </row>
    <row r="285" spans="1:11" x14ac:dyDescent="0.25">
      <c r="A285" t="s">
        <v>562</v>
      </c>
      <c r="B285" s="2">
        <v>45097</v>
      </c>
      <c r="C285" t="s">
        <v>25</v>
      </c>
      <c r="D285" t="s">
        <v>46</v>
      </c>
      <c r="E285" t="s">
        <v>27</v>
      </c>
      <c r="F285">
        <v>115939.45</v>
      </c>
      <c r="G285" t="s">
        <v>38</v>
      </c>
      <c r="H285" t="s">
        <v>16</v>
      </c>
      <c r="I285" t="s">
        <v>17</v>
      </c>
      <c r="J285" t="s">
        <v>563</v>
      </c>
      <c r="K285" t="s">
        <v>18</v>
      </c>
    </row>
    <row r="286" spans="1:11" x14ac:dyDescent="0.25">
      <c r="A286" t="s">
        <v>564</v>
      </c>
      <c r="B286" s="2">
        <v>45563</v>
      </c>
      <c r="C286" t="s">
        <v>12</v>
      </c>
      <c r="D286" t="s">
        <v>60</v>
      </c>
      <c r="E286" t="s">
        <v>44</v>
      </c>
      <c r="F286">
        <v>158085</v>
      </c>
      <c r="G286" t="s">
        <v>15</v>
      </c>
      <c r="H286" t="s">
        <v>16</v>
      </c>
      <c r="I286" t="s">
        <v>17</v>
      </c>
      <c r="J286" t="s">
        <v>565</v>
      </c>
      <c r="K286" t="s">
        <v>18</v>
      </c>
    </row>
    <row r="287" spans="1:11" x14ac:dyDescent="0.25">
      <c r="A287" t="s">
        <v>566</v>
      </c>
      <c r="B287" s="2">
        <v>45585</v>
      </c>
      <c r="C287" t="s">
        <v>59</v>
      </c>
      <c r="D287" t="s">
        <v>37</v>
      </c>
      <c r="E287" t="s">
        <v>44</v>
      </c>
      <c r="F287">
        <v>132429.74</v>
      </c>
      <c r="G287" t="s">
        <v>28</v>
      </c>
      <c r="H287" t="s">
        <v>16</v>
      </c>
      <c r="I287" t="s">
        <v>17</v>
      </c>
      <c r="J287" t="s">
        <v>567</v>
      </c>
      <c r="K287" t="s">
        <v>30</v>
      </c>
    </row>
    <row r="288" spans="1:11" x14ac:dyDescent="0.25">
      <c r="A288" t="s">
        <v>568</v>
      </c>
      <c r="B288" s="2">
        <v>46007</v>
      </c>
      <c r="C288" t="s">
        <v>12</v>
      </c>
      <c r="D288" t="s">
        <v>13</v>
      </c>
      <c r="E288" t="s">
        <v>14</v>
      </c>
      <c r="F288">
        <v>33063.49</v>
      </c>
      <c r="G288" t="s">
        <v>15</v>
      </c>
      <c r="H288" t="s">
        <v>34</v>
      </c>
      <c r="I288" t="s">
        <v>17</v>
      </c>
      <c r="K288" t="s">
        <v>18</v>
      </c>
    </row>
    <row r="289" spans="1:11" x14ac:dyDescent="0.25">
      <c r="A289" t="s">
        <v>569</v>
      </c>
      <c r="B289" s="2">
        <v>45062</v>
      </c>
      <c r="C289" t="s">
        <v>12</v>
      </c>
      <c r="D289" t="s">
        <v>26</v>
      </c>
      <c r="E289" t="s">
        <v>22</v>
      </c>
      <c r="F289">
        <v>194188.45</v>
      </c>
      <c r="G289" t="s">
        <v>38</v>
      </c>
      <c r="H289" t="s">
        <v>16</v>
      </c>
      <c r="I289" t="s">
        <v>17</v>
      </c>
      <c r="J289" t="s">
        <v>570</v>
      </c>
      <c r="K289" t="s">
        <v>30</v>
      </c>
    </row>
    <row r="290" spans="1:11" x14ac:dyDescent="0.25">
      <c r="A290" t="s">
        <v>571</v>
      </c>
      <c r="B290" s="2">
        <v>45495</v>
      </c>
      <c r="C290" t="s">
        <v>20</v>
      </c>
      <c r="D290" t="s">
        <v>46</v>
      </c>
      <c r="E290" t="s">
        <v>44</v>
      </c>
      <c r="F290">
        <v>15962.66</v>
      </c>
      <c r="G290" t="s">
        <v>15</v>
      </c>
      <c r="H290" t="s">
        <v>16</v>
      </c>
      <c r="I290" t="s">
        <v>17</v>
      </c>
      <c r="J290" t="s">
        <v>572</v>
      </c>
      <c r="K290" t="s">
        <v>18</v>
      </c>
    </row>
    <row r="291" spans="1:11" x14ac:dyDescent="0.25">
      <c r="A291" t="s">
        <v>573</v>
      </c>
      <c r="B291" s="2">
        <v>45298</v>
      </c>
      <c r="C291" t="s">
        <v>25</v>
      </c>
      <c r="D291" t="s">
        <v>64</v>
      </c>
      <c r="E291" t="s">
        <v>140</v>
      </c>
      <c r="F291">
        <v>220366.66</v>
      </c>
      <c r="G291" t="s">
        <v>15</v>
      </c>
      <c r="H291" t="s">
        <v>16</v>
      </c>
      <c r="I291" t="s">
        <v>17</v>
      </c>
      <c r="J291" t="s">
        <v>574</v>
      </c>
      <c r="K291" t="s">
        <v>30</v>
      </c>
    </row>
    <row r="292" spans="1:11" x14ac:dyDescent="0.25">
      <c r="A292" t="s">
        <v>575</v>
      </c>
      <c r="B292" s="2">
        <v>45519</v>
      </c>
      <c r="C292" t="s">
        <v>20</v>
      </c>
      <c r="D292" t="s">
        <v>64</v>
      </c>
      <c r="E292" t="s">
        <v>27</v>
      </c>
      <c r="F292">
        <v>35902.6</v>
      </c>
      <c r="G292" t="s">
        <v>28</v>
      </c>
      <c r="H292" t="s">
        <v>16</v>
      </c>
      <c r="I292" t="s">
        <v>17</v>
      </c>
      <c r="J292" t="s">
        <v>576</v>
      </c>
      <c r="K292" t="s">
        <v>18</v>
      </c>
    </row>
    <row r="293" spans="1:11" x14ac:dyDescent="0.25">
      <c r="A293" t="s">
        <v>577</v>
      </c>
      <c r="B293" s="2">
        <v>45555</v>
      </c>
      <c r="C293" t="s">
        <v>25</v>
      </c>
      <c r="D293" t="s">
        <v>46</v>
      </c>
      <c r="E293" t="s">
        <v>156</v>
      </c>
      <c r="G293" t="s">
        <v>28</v>
      </c>
      <c r="H293" t="s">
        <v>16</v>
      </c>
      <c r="I293" t="s">
        <v>17</v>
      </c>
      <c r="J293" t="s">
        <v>578</v>
      </c>
      <c r="K293" t="s">
        <v>18</v>
      </c>
    </row>
    <row r="294" spans="1:11" x14ac:dyDescent="0.25">
      <c r="A294" t="s">
        <v>579</v>
      </c>
      <c r="B294" s="2">
        <v>45644</v>
      </c>
      <c r="C294" t="s">
        <v>25</v>
      </c>
      <c r="D294" t="s">
        <v>46</v>
      </c>
      <c r="E294" t="s">
        <v>22</v>
      </c>
      <c r="F294">
        <v>26125.14</v>
      </c>
      <c r="G294" t="s">
        <v>38</v>
      </c>
      <c r="H294" t="s">
        <v>16</v>
      </c>
      <c r="I294" t="s">
        <v>17</v>
      </c>
      <c r="J294" t="s">
        <v>580</v>
      </c>
      <c r="K294" t="s">
        <v>18</v>
      </c>
    </row>
    <row r="295" spans="1:11" x14ac:dyDescent="0.25">
      <c r="A295" t="s">
        <v>581</v>
      </c>
      <c r="B295" s="2">
        <v>45853</v>
      </c>
      <c r="C295" t="s">
        <v>12</v>
      </c>
      <c r="D295" t="s">
        <v>37</v>
      </c>
      <c r="E295" t="s">
        <v>14</v>
      </c>
      <c r="F295">
        <v>96497.99</v>
      </c>
      <c r="G295" t="s">
        <v>28</v>
      </c>
      <c r="H295" t="s">
        <v>16</v>
      </c>
      <c r="I295" t="s">
        <v>17</v>
      </c>
      <c r="J295" t="s">
        <v>582</v>
      </c>
      <c r="K295" t="s">
        <v>18</v>
      </c>
    </row>
    <row r="296" spans="1:11" x14ac:dyDescent="0.25">
      <c r="A296" t="s">
        <v>583</v>
      </c>
      <c r="B296" s="2">
        <v>45079</v>
      </c>
      <c r="C296" t="s">
        <v>12</v>
      </c>
      <c r="D296" t="s">
        <v>64</v>
      </c>
      <c r="E296" t="s">
        <v>41</v>
      </c>
      <c r="F296">
        <v>103097.68</v>
      </c>
      <c r="G296" t="s">
        <v>15</v>
      </c>
      <c r="H296" t="s">
        <v>16</v>
      </c>
      <c r="I296" t="s">
        <v>17</v>
      </c>
      <c r="K296" t="s">
        <v>30</v>
      </c>
    </row>
    <row r="297" spans="1:11" x14ac:dyDescent="0.25">
      <c r="A297" t="s">
        <v>584</v>
      </c>
      <c r="B297" s="2">
        <v>44997</v>
      </c>
      <c r="C297" t="s">
        <v>25</v>
      </c>
      <c r="D297" t="s">
        <v>64</v>
      </c>
      <c r="E297" t="s">
        <v>44</v>
      </c>
      <c r="F297">
        <v>164200.82</v>
      </c>
      <c r="G297" t="s">
        <v>38</v>
      </c>
      <c r="H297" t="s">
        <v>16</v>
      </c>
      <c r="I297" t="s">
        <v>17</v>
      </c>
      <c r="J297" t="s">
        <v>585</v>
      </c>
      <c r="K297" t="s">
        <v>18</v>
      </c>
    </row>
    <row r="298" spans="1:11" x14ac:dyDescent="0.25">
      <c r="A298" t="s">
        <v>586</v>
      </c>
      <c r="B298" s="2">
        <v>45755</v>
      </c>
      <c r="C298" t="s">
        <v>73</v>
      </c>
      <c r="D298" t="s">
        <v>60</v>
      </c>
      <c r="E298" t="s">
        <v>14</v>
      </c>
      <c r="F298">
        <v>169299.09</v>
      </c>
      <c r="G298" t="s">
        <v>15</v>
      </c>
      <c r="H298" t="s">
        <v>16</v>
      </c>
      <c r="I298" t="s">
        <v>17</v>
      </c>
      <c r="J298" t="s">
        <v>587</v>
      </c>
      <c r="K298" t="s">
        <v>18</v>
      </c>
    </row>
    <row r="299" spans="1:11" x14ac:dyDescent="0.25">
      <c r="A299" t="s">
        <v>588</v>
      </c>
      <c r="B299" s="2">
        <v>45388</v>
      </c>
      <c r="C299" t="s">
        <v>25</v>
      </c>
      <c r="D299" t="s">
        <v>13</v>
      </c>
      <c r="E299" t="s">
        <v>22</v>
      </c>
      <c r="F299">
        <v>224038.56</v>
      </c>
      <c r="G299" t="s">
        <v>15</v>
      </c>
      <c r="H299" t="s">
        <v>16</v>
      </c>
      <c r="I299" t="s">
        <v>17</v>
      </c>
      <c r="J299" t="s">
        <v>589</v>
      </c>
      <c r="K299" t="s">
        <v>18</v>
      </c>
    </row>
    <row r="300" spans="1:11" x14ac:dyDescent="0.25">
      <c r="A300" t="s">
        <v>590</v>
      </c>
      <c r="B300" s="2">
        <v>45604</v>
      </c>
      <c r="C300" t="s">
        <v>20</v>
      </c>
      <c r="D300" t="s">
        <v>26</v>
      </c>
      <c r="E300" t="s">
        <v>41</v>
      </c>
      <c r="F300">
        <v>117560.16</v>
      </c>
      <c r="G300" t="s">
        <v>38</v>
      </c>
      <c r="H300" t="s">
        <v>16</v>
      </c>
      <c r="I300" t="s">
        <v>17</v>
      </c>
      <c r="J300" t="s">
        <v>591</v>
      </c>
      <c r="K300" t="s">
        <v>30</v>
      </c>
    </row>
    <row r="301" spans="1:11" x14ac:dyDescent="0.25">
      <c r="A301" t="s">
        <v>592</v>
      </c>
      <c r="B301" s="2">
        <v>45625</v>
      </c>
      <c r="C301" t="s">
        <v>25</v>
      </c>
      <c r="D301" t="s">
        <v>26</v>
      </c>
      <c r="E301" t="s">
        <v>41</v>
      </c>
      <c r="F301">
        <v>186169.9</v>
      </c>
      <c r="G301" t="s">
        <v>28</v>
      </c>
      <c r="H301" t="s">
        <v>16</v>
      </c>
      <c r="I301" t="s">
        <v>17</v>
      </c>
      <c r="K301" t="s">
        <v>18</v>
      </c>
    </row>
    <row r="302" spans="1:11" x14ac:dyDescent="0.25">
      <c r="A302" t="s">
        <v>593</v>
      </c>
      <c r="B302" s="2">
        <v>45424</v>
      </c>
      <c r="C302" t="s">
        <v>12</v>
      </c>
      <c r="D302" t="s">
        <v>26</v>
      </c>
      <c r="E302" t="s">
        <v>44</v>
      </c>
      <c r="F302">
        <v>85725.92</v>
      </c>
      <c r="G302" t="s">
        <v>38</v>
      </c>
      <c r="H302" t="s">
        <v>16</v>
      </c>
      <c r="I302" t="s">
        <v>17</v>
      </c>
      <c r="J302" t="s">
        <v>594</v>
      </c>
      <c r="K302" t="s">
        <v>18</v>
      </c>
    </row>
    <row r="303" spans="1:11" x14ac:dyDescent="0.25">
      <c r="A303" t="s">
        <v>595</v>
      </c>
      <c r="B303" s="2">
        <v>45907</v>
      </c>
      <c r="C303" t="s">
        <v>25</v>
      </c>
      <c r="D303" t="s">
        <v>21</v>
      </c>
      <c r="E303" t="s">
        <v>14</v>
      </c>
      <c r="F303">
        <v>74245.009999999995</v>
      </c>
      <c r="G303" t="s">
        <v>15</v>
      </c>
      <c r="H303" t="s">
        <v>16</v>
      </c>
      <c r="I303" t="s">
        <v>17</v>
      </c>
      <c r="J303" t="s">
        <v>596</v>
      </c>
      <c r="K303" t="s">
        <v>30</v>
      </c>
    </row>
    <row r="304" spans="1:11" x14ac:dyDescent="0.25">
      <c r="A304" t="s">
        <v>597</v>
      </c>
      <c r="B304" s="2">
        <v>46000</v>
      </c>
      <c r="C304" t="s">
        <v>73</v>
      </c>
      <c r="D304" t="s">
        <v>37</v>
      </c>
      <c r="E304" t="s">
        <v>41</v>
      </c>
      <c r="F304">
        <v>121644.81</v>
      </c>
      <c r="G304" t="s">
        <v>15</v>
      </c>
      <c r="H304" t="s">
        <v>16</v>
      </c>
      <c r="I304" t="s">
        <v>17</v>
      </c>
      <c r="J304" t="s">
        <v>598</v>
      </c>
      <c r="K304" t="s">
        <v>18</v>
      </c>
    </row>
    <row r="305" spans="1:11" x14ac:dyDescent="0.25">
      <c r="A305" t="s">
        <v>599</v>
      </c>
      <c r="B305" s="2">
        <v>45639</v>
      </c>
      <c r="C305" t="s">
        <v>73</v>
      </c>
      <c r="D305" t="s">
        <v>46</v>
      </c>
      <c r="E305" t="s">
        <v>27</v>
      </c>
      <c r="F305">
        <v>145092.82999999999</v>
      </c>
      <c r="G305" t="s">
        <v>38</v>
      </c>
      <c r="H305" t="s">
        <v>16</v>
      </c>
      <c r="I305" t="s">
        <v>17</v>
      </c>
      <c r="J305" t="s">
        <v>600</v>
      </c>
      <c r="K305" t="s">
        <v>30</v>
      </c>
    </row>
    <row r="306" spans="1:11" x14ac:dyDescent="0.25">
      <c r="A306" t="s">
        <v>601</v>
      </c>
      <c r="B306" s="2">
        <v>45591</v>
      </c>
      <c r="C306" t="s">
        <v>12</v>
      </c>
      <c r="D306" t="s">
        <v>26</v>
      </c>
      <c r="E306" t="s">
        <v>41</v>
      </c>
      <c r="F306">
        <v>141772.04999999999</v>
      </c>
      <c r="G306" t="s">
        <v>38</v>
      </c>
      <c r="H306" t="s">
        <v>16</v>
      </c>
      <c r="I306" t="s">
        <v>17</v>
      </c>
      <c r="K306" t="s">
        <v>18</v>
      </c>
    </row>
    <row r="307" spans="1:11" x14ac:dyDescent="0.25">
      <c r="A307" t="s">
        <v>602</v>
      </c>
      <c r="B307" s="2">
        <v>45534</v>
      </c>
      <c r="C307" t="s">
        <v>20</v>
      </c>
      <c r="D307" t="s">
        <v>64</v>
      </c>
      <c r="E307" t="s">
        <v>44</v>
      </c>
      <c r="F307">
        <v>293577.77</v>
      </c>
      <c r="G307" t="s">
        <v>15</v>
      </c>
      <c r="H307" t="s">
        <v>16</v>
      </c>
      <c r="I307" t="s">
        <v>17</v>
      </c>
      <c r="J307" t="s">
        <v>603</v>
      </c>
      <c r="K307" t="s">
        <v>18</v>
      </c>
    </row>
    <row r="308" spans="1:11" x14ac:dyDescent="0.25">
      <c r="A308" t="s">
        <v>604</v>
      </c>
      <c r="B308" s="2">
        <v>45651</v>
      </c>
      <c r="C308" t="s">
        <v>20</v>
      </c>
      <c r="D308" t="s">
        <v>64</v>
      </c>
      <c r="E308" t="s">
        <v>44</v>
      </c>
      <c r="F308">
        <v>255973</v>
      </c>
      <c r="G308" t="s">
        <v>38</v>
      </c>
      <c r="H308" t="s">
        <v>16</v>
      </c>
      <c r="I308" t="s">
        <v>17</v>
      </c>
      <c r="J308" t="s">
        <v>605</v>
      </c>
      <c r="K308" t="s">
        <v>18</v>
      </c>
    </row>
    <row r="309" spans="1:11" x14ac:dyDescent="0.25">
      <c r="A309" t="s">
        <v>606</v>
      </c>
      <c r="B309" s="2">
        <v>45621</v>
      </c>
      <c r="C309" t="s">
        <v>12</v>
      </c>
      <c r="D309" t="s">
        <v>21</v>
      </c>
      <c r="E309" t="s">
        <v>41</v>
      </c>
      <c r="F309">
        <v>39470.449999999997</v>
      </c>
      <c r="G309" t="s">
        <v>38</v>
      </c>
      <c r="H309" t="s">
        <v>16</v>
      </c>
      <c r="I309" t="s">
        <v>17</v>
      </c>
      <c r="K309" t="s">
        <v>18</v>
      </c>
    </row>
    <row r="310" spans="1:11" x14ac:dyDescent="0.25">
      <c r="A310" t="s">
        <v>607</v>
      </c>
      <c r="B310" s="2">
        <v>45369</v>
      </c>
      <c r="C310" t="s">
        <v>12</v>
      </c>
      <c r="D310" t="s">
        <v>64</v>
      </c>
      <c r="E310" t="s">
        <v>41</v>
      </c>
      <c r="F310">
        <v>64835</v>
      </c>
      <c r="G310" t="s">
        <v>15</v>
      </c>
      <c r="H310" t="s">
        <v>34</v>
      </c>
      <c r="I310" t="s">
        <v>17</v>
      </c>
      <c r="J310" t="s">
        <v>608</v>
      </c>
      <c r="K310" t="s">
        <v>18</v>
      </c>
    </row>
    <row r="311" spans="1:11" x14ac:dyDescent="0.25">
      <c r="A311" t="s">
        <v>609</v>
      </c>
      <c r="B311" s="2">
        <v>45717</v>
      </c>
      <c r="C311" t="s">
        <v>73</v>
      </c>
      <c r="D311" t="s">
        <v>26</v>
      </c>
      <c r="E311" t="s">
        <v>41</v>
      </c>
      <c r="F311">
        <v>121998.67</v>
      </c>
      <c r="G311" t="s">
        <v>38</v>
      </c>
      <c r="H311" t="s">
        <v>34</v>
      </c>
      <c r="I311" t="s">
        <v>17</v>
      </c>
      <c r="K311" t="s">
        <v>18</v>
      </c>
    </row>
    <row r="312" spans="1:11" x14ac:dyDescent="0.25">
      <c r="A312" t="s">
        <v>610</v>
      </c>
      <c r="B312" s="2">
        <v>45237</v>
      </c>
      <c r="C312" t="s">
        <v>59</v>
      </c>
      <c r="D312" t="s">
        <v>64</v>
      </c>
      <c r="E312" t="s">
        <v>27</v>
      </c>
      <c r="F312">
        <v>216598.44</v>
      </c>
      <c r="G312" t="s">
        <v>38</v>
      </c>
      <c r="H312" t="s">
        <v>16</v>
      </c>
      <c r="I312" t="s">
        <v>17</v>
      </c>
      <c r="J312" t="s">
        <v>611</v>
      </c>
      <c r="K312" t="s">
        <v>18</v>
      </c>
    </row>
    <row r="313" spans="1:11" x14ac:dyDescent="0.25">
      <c r="A313" t="s">
        <v>612</v>
      </c>
      <c r="B313" s="2">
        <v>45639</v>
      </c>
      <c r="C313" t="s">
        <v>20</v>
      </c>
      <c r="D313" t="s">
        <v>60</v>
      </c>
      <c r="E313" t="s">
        <v>14</v>
      </c>
      <c r="F313">
        <v>119045.46</v>
      </c>
      <c r="G313" t="s">
        <v>28</v>
      </c>
      <c r="H313" t="s">
        <v>16</v>
      </c>
      <c r="I313" t="s">
        <v>17</v>
      </c>
      <c r="J313" t="s">
        <v>613</v>
      </c>
      <c r="K313" t="s">
        <v>18</v>
      </c>
    </row>
    <row r="314" spans="1:11" x14ac:dyDescent="0.25">
      <c r="A314" t="s">
        <v>614</v>
      </c>
      <c r="B314" s="2">
        <v>45512</v>
      </c>
      <c r="C314" t="s">
        <v>12</v>
      </c>
      <c r="D314" t="s">
        <v>13</v>
      </c>
      <c r="E314" t="s">
        <v>27</v>
      </c>
      <c r="F314">
        <v>185678.29</v>
      </c>
      <c r="G314" t="s">
        <v>15</v>
      </c>
      <c r="H314" t="s">
        <v>16</v>
      </c>
      <c r="I314" t="s">
        <v>17</v>
      </c>
      <c r="J314" t="s">
        <v>615</v>
      </c>
      <c r="K314" t="s">
        <v>18</v>
      </c>
    </row>
    <row r="315" spans="1:11" x14ac:dyDescent="0.25">
      <c r="A315" t="s">
        <v>616</v>
      </c>
      <c r="B315" s="2">
        <v>45974</v>
      </c>
      <c r="C315" t="s">
        <v>20</v>
      </c>
      <c r="D315" t="s">
        <v>37</v>
      </c>
      <c r="E315" t="s">
        <v>22</v>
      </c>
      <c r="F315">
        <v>125201.46</v>
      </c>
      <c r="G315" t="s">
        <v>38</v>
      </c>
      <c r="H315" t="s">
        <v>16</v>
      </c>
      <c r="I315" t="s">
        <v>17</v>
      </c>
      <c r="J315" t="s">
        <v>617</v>
      </c>
      <c r="K315" t="s">
        <v>18</v>
      </c>
    </row>
    <row r="316" spans="1:11" x14ac:dyDescent="0.25">
      <c r="A316" t="s">
        <v>618</v>
      </c>
      <c r="B316" s="2">
        <v>45999</v>
      </c>
      <c r="C316" t="s">
        <v>25</v>
      </c>
      <c r="D316" t="s">
        <v>60</v>
      </c>
      <c r="E316" t="s">
        <v>44</v>
      </c>
      <c r="F316">
        <v>157807.28</v>
      </c>
      <c r="G316" t="s">
        <v>28</v>
      </c>
      <c r="H316" t="s">
        <v>16</v>
      </c>
      <c r="I316" t="s">
        <v>17</v>
      </c>
      <c r="J316" t="s">
        <v>619</v>
      </c>
      <c r="K316" t="s">
        <v>18</v>
      </c>
    </row>
    <row r="317" spans="1:11" x14ac:dyDescent="0.25">
      <c r="A317" t="s">
        <v>620</v>
      </c>
      <c r="B317" s="2">
        <v>45576</v>
      </c>
      <c r="C317" t="s">
        <v>20</v>
      </c>
      <c r="D317" t="s">
        <v>64</v>
      </c>
      <c r="E317" t="s">
        <v>27</v>
      </c>
      <c r="F317">
        <v>244226.08</v>
      </c>
      <c r="G317" t="s">
        <v>28</v>
      </c>
      <c r="H317" t="s">
        <v>16</v>
      </c>
      <c r="I317" t="s">
        <v>17</v>
      </c>
      <c r="J317" t="s">
        <v>621</v>
      </c>
      <c r="K317" t="s">
        <v>18</v>
      </c>
    </row>
    <row r="318" spans="1:11" x14ac:dyDescent="0.25">
      <c r="A318" t="s">
        <v>622</v>
      </c>
      <c r="B318" s="2">
        <v>45329</v>
      </c>
      <c r="C318" t="s">
        <v>12</v>
      </c>
      <c r="D318" t="s">
        <v>13</v>
      </c>
      <c r="E318" t="s">
        <v>27</v>
      </c>
      <c r="F318">
        <v>124460.62</v>
      </c>
      <c r="G318" t="s">
        <v>38</v>
      </c>
      <c r="H318" t="s">
        <v>16</v>
      </c>
      <c r="I318" t="s">
        <v>17</v>
      </c>
      <c r="J318" t="s">
        <v>623</v>
      </c>
      <c r="K318" t="s">
        <v>18</v>
      </c>
    </row>
    <row r="319" spans="1:11" x14ac:dyDescent="0.25">
      <c r="A319" t="s">
        <v>624</v>
      </c>
      <c r="B319" s="2">
        <v>45568</v>
      </c>
      <c r="C319" t="s">
        <v>25</v>
      </c>
      <c r="D319" t="s">
        <v>13</v>
      </c>
      <c r="E319" t="s">
        <v>44</v>
      </c>
      <c r="F319">
        <v>104084</v>
      </c>
      <c r="G319" t="s">
        <v>28</v>
      </c>
      <c r="H319" t="s">
        <v>34</v>
      </c>
      <c r="I319" t="s">
        <v>17</v>
      </c>
      <c r="J319" t="s">
        <v>625</v>
      </c>
      <c r="K319" t="s">
        <v>18</v>
      </c>
    </row>
    <row r="320" spans="1:11" x14ac:dyDescent="0.25">
      <c r="A320" t="s">
        <v>626</v>
      </c>
      <c r="B320" s="2">
        <v>45897</v>
      </c>
      <c r="C320" t="s">
        <v>12</v>
      </c>
      <c r="D320" t="s">
        <v>46</v>
      </c>
      <c r="E320" t="s">
        <v>14</v>
      </c>
      <c r="F320">
        <v>12921.98</v>
      </c>
      <c r="G320" t="s">
        <v>38</v>
      </c>
      <c r="H320" t="s">
        <v>16</v>
      </c>
      <c r="I320" t="s">
        <v>17</v>
      </c>
      <c r="J320" t="s">
        <v>627</v>
      </c>
      <c r="K320" t="s">
        <v>30</v>
      </c>
    </row>
    <row r="321" spans="1:11" x14ac:dyDescent="0.25">
      <c r="A321" t="s">
        <v>628</v>
      </c>
      <c r="B321" s="2">
        <v>45332</v>
      </c>
      <c r="C321" t="s">
        <v>12</v>
      </c>
      <c r="D321" t="s">
        <v>21</v>
      </c>
      <c r="E321" t="s">
        <v>27</v>
      </c>
      <c r="F321">
        <v>122501.11</v>
      </c>
      <c r="G321" t="s">
        <v>38</v>
      </c>
      <c r="H321" t="s">
        <v>16</v>
      </c>
      <c r="I321" t="s">
        <v>17</v>
      </c>
      <c r="J321" t="s">
        <v>629</v>
      </c>
      <c r="K321" t="s">
        <v>18</v>
      </c>
    </row>
    <row r="322" spans="1:11" x14ac:dyDescent="0.25">
      <c r="A322" t="s">
        <v>630</v>
      </c>
      <c r="B322" s="2">
        <v>45508</v>
      </c>
      <c r="C322" t="s">
        <v>25</v>
      </c>
      <c r="D322" t="s">
        <v>21</v>
      </c>
      <c r="E322" t="s">
        <v>22</v>
      </c>
      <c r="F322">
        <v>10249.59</v>
      </c>
      <c r="G322" t="s">
        <v>28</v>
      </c>
      <c r="H322" t="s">
        <v>16</v>
      </c>
      <c r="I322" t="s">
        <v>17</v>
      </c>
      <c r="J322" t="s">
        <v>631</v>
      </c>
      <c r="K322" t="s">
        <v>18</v>
      </c>
    </row>
    <row r="323" spans="1:11" x14ac:dyDescent="0.25">
      <c r="A323" t="s">
        <v>632</v>
      </c>
      <c r="B323" s="2">
        <v>44969</v>
      </c>
      <c r="C323" t="s">
        <v>12</v>
      </c>
      <c r="D323" t="s">
        <v>21</v>
      </c>
      <c r="E323" t="s">
        <v>27</v>
      </c>
      <c r="F323">
        <v>9500.83</v>
      </c>
      <c r="G323" t="s">
        <v>28</v>
      </c>
      <c r="H323" t="s">
        <v>16</v>
      </c>
      <c r="I323" t="s">
        <v>17</v>
      </c>
      <c r="J323" t="s">
        <v>633</v>
      </c>
      <c r="K323" t="s">
        <v>18</v>
      </c>
    </row>
    <row r="324" spans="1:11" x14ac:dyDescent="0.25">
      <c r="A324" t="s">
        <v>634</v>
      </c>
      <c r="B324" s="2">
        <v>45402</v>
      </c>
      <c r="C324" t="s">
        <v>25</v>
      </c>
      <c r="D324" t="s">
        <v>64</v>
      </c>
      <c r="E324" t="s">
        <v>41</v>
      </c>
      <c r="F324">
        <v>115385.13</v>
      </c>
      <c r="G324" t="s">
        <v>15</v>
      </c>
      <c r="H324" t="s">
        <v>16</v>
      </c>
      <c r="I324" t="s">
        <v>17</v>
      </c>
      <c r="J324" t="s">
        <v>635</v>
      </c>
      <c r="K324" t="s">
        <v>18</v>
      </c>
    </row>
    <row r="325" spans="1:11" x14ac:dyDescent="0.25">
      <c r="A325" t="s">
        <v>636</v>
      </c>
      <c r="B325" s="2">
        <v>45326</v>
      </c>
      <c r="C325" t="s">
        <v>20</v>
      </c>
      <c r="D325" t="s">
        <v>21</v>
      </c>
      <c r="E325" t="s">
        <v>27</v>
      </c>
      <c r="F325">
        <v>55887.86</v>
      </c>
      <c r="G325" t="s">
        <v>15</v>
      </c>
      <c r="H325" t="s">
        <v>16</v>
      </c>
      <c r="I325" t="s">
        <v>17</v>
      </c>
      <c r="J325" t="s">
        <v>637</v>
      </c>
      <c r="K325" t="s">
        <v>18</v>
      </c>
    </row>
    <row r="326" spans="1:11" x14ac:dyDescent="0.25">
      <c r="A326" t="s">
        <v>638</v>
      </c>
      <c r="B326" s="2">
        <v>45381</v>
      </c>
      <c r="C326" t="s">
        <v>25</v>
      </c>
      <c r="D326" t="s">
        <v>26</v>
      </c>
      <c r="E326" t="s">
        <v>41</v>
      </c>
      <c r="F326">
        <v>85329.16</v>
      </c>
      <c r="G326" t="s">
        <v>38</v>
      </c>
      <c r="H326" t="s">
        <v>16</v>
      </c>
      <c r="I326" t="s">
        <v>17</v>
      </c>
      <c r="J326" t="s">
        <v>639</v>
      </c>
      <c r="K326" t="s">
        <v>18</v>
      </c>
    </row>
    <row r="327" spans="1:11" x14ac:dyDescent="0.25">
      <c r="A327" t="s">
        <v>640</v>
      </c>
      <c r="B327" s="2">
        <v>45697</v>
      </c>
      <c r="C327" t="s">
        <v>59</v>
      </c>
      <c r="D327" t="s">
        <v>37</v>
      </c>
      <c r="E327" t="s">
        <v>14</v>
      </c>
      <c r="G327" t="s">
        <v>15</v>
      </c>
      <c r="H327" t="s">
        <v>34</v>
      </c>
      <c r="I327" t="s">
        <v>17</v>
      </c>
      <c r="J327" t="s">
        <v>641</v>
      </c>
      <c r="K327" t="s">
        <v>18</v>
      </c>
    </row>
    <row r="328" spans="1:11" x14ac:dyDescent="0.25">
      <c r="A328" t="s">
        <v>642</v>
      </c>
      <c r="B328" s="2">
        <v>44993</v>
      </c>
      <c r="C328" t="s">
        <v>20</v>
      </c>
      <c r="D328" t="s">
        <v>21</v>
      </c>
      <c r="E328" t="s">
        <v>41</v>
      </c>
      <c r="F328">
        <v>128070.83</v>
      </c>
      <c r="G328" t="s">
        <v>15</v>
      </c>
      <c r="H328" t="s">
        <v>16</v>
      </c>
      <c r="I328" t="s">
        <v>17</v>
      </c>
      <c r="J328" t="s">
        <v>643</v>
      </c>
      <c r="K328" t="s">
        <v>30</v>
      </c>
    </row>
    <row r="329" spans="1:11" x14ac:dyDescent="0.25">
      <c r="A329" t="s">
        <v>644</v>
      </c>
      <c r="B329" s="2">
        <v>45514</v>
      </c>
      <c r="C329" t="s">
        <v>12</v>
      </c>
      <c r="D329" t="s">
        <v>60</v>
      </c>
      <c r="E329" t="s">
        <v>27</v>
      </c>
      <c r="F329">
        <v>6953.16</v>
      </c>
      <c r="G329" t="s">
        <v>28</v>
      </c>
      <c r="H329" t="s">
        <v>16</v>
      </c>
      <c r="I329" t="s">
        <v>17</v>
      </c>
      <c r="J329" t="s">
        <v>645</v>
      </c>
      <c r="K329" t="s">
        <v>18</v>
      </c>
    </row>
    <row r="330" spans="1:11" x14ac:dyDescent="0.25">
      <c r="A330" t="s">
        <v>646</v>
      </c>
      <c r="B330" s="2">
        <v>45404</v>
      </c>
      <c r="C330" t="s">
        <v>25</v>
      </c>
      <c r="D330" t="s">
        <v>60</v>
      </c>
      <c r="E330" t="s">
        <v>44</v>
      </c>
      <c r="F330">
        <v>126819.03</v>
      </c>
      <c r="G330" t="s">
        <v>38</v>
      </c>
      <c r="H330" t="s">
        <v>16</v>
      </c>
      <c r="I330" t="s">
        <v>17</v>
      </c>
      <c r="J330" t="s">
        <v>647</v>
      </c>
      <c r="K330" t="s">
        <v>18</v>
      </c>
    </row>
    <row r="331" spans="1:11" x14ac:dyDescent="0.25">
      <c r="A331" t="s">
        <v>648</v>
      </c>
      <c r="B331" s="2">
        <v>45102</v>
      </c>
      <c r="C331" t="s">
        <v>12</v>
      </c>
      <c r="D331" t="s">
        <v>37</v>
      </c>
      <c r="E331" t="s">
        <v>41</v>
      </c>
      <c r="F331">
        <v>39353.379999999997</v>
      </c>
      <c r="G331" t="s">
        <v>38</v>
      </c>
      <c r="H331" t="s">
        <v>16</v>
      </c>
      <c r="I331" t="s">
        <v>17</v>
      </c>
      <c r="J331" t="s">
        <v>649</v>
      </c>
      <c r="K331" t="s">
        <v>18</v>
      </c>
    </row>
    <row r="332" spans="1:11" x14ac:dyDescent="0.25">
      <c r="A332" t="s">
        <v>650</v>
      </c>
      <c r="B332" s="2">
        <v>45195</v>
      </c>
      <c r="C332" t="s">
        <v>12</v>
      </c>
      <c r="D332" t="s">
        <v>37</v>
      </c>
      <c r="E332" t="s">
        <v>44</v>
      </c>
      <c r="F332">
        <v>115438.83</v>
      </c>
      <c r="G332" t="s">
        <v>28</v>
      </c>
      <c r="H332" t="s">
        <v>16</v>
      </c>
      <c r="I332" t="s">
        <v>17</v>
      </c>
      <c r="J332" t="s">
        <v>651</v>
      </c>
      <c r="K332" t="s">
        <v>18</v>
      </c>
    </row>
    <row r="333" spans="1:11" x14ac:dyDescent="0.25">
      <c r="A333" t="s">
        <v>652</v>
      </c>
      <c r="B333" s="2">
        <v>45190</v>
      </c>
      <c r="C333" t="s">
        <v>12</v>
      </c>
      <c r="D333" t="s">
        <v>46</v>
      </c>
      <c r="E333" t="s">
        <v>44</v>
      </c>
      <c r="F333">
        <v>64698.67</v>
      </c>
      <c r="G333" t="s">
        <v>15</v>
      </c>
      <c r="H333" t="s">
        <v>16</v>
      </c>
      <c r="I333" t="s">
        <v>17</v>
      </c>
      <c r="J333" t="s">
        <v>653</v>
      </c>
      <c r="K333" t="s">
        <v>18</v>
      </c>
    </row>
    <row r="334" spans="1:11" x14ac:dyDescent="0.25">
      <c r="A334" t="s">
        <v>654</v>
      </c>
      <c r="B334" s="2">
        <v>46009</v>
      </c>
      <c r="C334" t="s">
        <v>12</v>
      </c>
      <c r="D334" t="s">
        <v>64</v>
      </c>
      <c r="E334" t="s">
        <v>44</v>
      </c>
      <c r="F334">
        <v>209901.3</v>
      </c>
      <c r="G334" t="s">
        <v>38</v>
      </c>
      <c r="H334" t="s">
        <v>16</v>
      </c>
      <c r="I334" t="s">
        <v>17</v>
      </c>
      <c r="J334" t="s">
        <v>655</v>
      </c>
      <c r="K334" t="s">
        <v>18</v>
      </c>
    </row>
    <row r="335" spans="1:11" x14ac:dyDescent="0.25">
      <c r="A335" t="s">
        <v>656</v>
      </c>
      <c r="B335" s="2">
        <v>45583</v>
      </c>
      <c r="C335" t="s">
        <v>25</v>
      </c>
      <c r="D335" t="s">
        <v>46</v>
      </c>
      <c r="E335" t="s">
        <v>44</v>
      </c>
      <c r="F335">
        <v>188173.06</v>
      </c>
      <c r="G335" t="s">
        <v>28</v>
      </c>
      <c r="H335" t="s">
        <v>16</v>
      </c>
      <c r="I335" t="s">
        <v>17</v>
      </c>
      <c r="J335" t="s">
        <v>82</v>
      </c>
      <c r="K335" t="s">
        <v>18</v>
      </c>
    </row>
    <row r="336" spans="1:11" x14ac:dyDescent="0.25">
      <c r="A336" t="s">
        <v>657</v>
      </c>
      <c r="B336" s="2">
        <v>45727</v>
      </c>
      <c r="C336" t="s">
        <v>20</v>
      </c>
      <c r="D336" t="s">
        <v>21</v>
      </c>
      <c r="E336" t="s">
        <v>44</v>
      </c>
      <c r="F336">
        <v>48825.29</v>
      </c>
      <c r="G336" t="s">
        <v>28</v>
      </c>
      <c r="H336" t="s">
        <v>34</v>
      </c>
      <c r="I336" t="s">
        <v>17</v>
      </c>
      <c r="J336" t="s">
        <v>658</v>
      </c>
      <c r="K336" t="s">
        <v>18</v>
      </c>
    </row>
    <row r="337" spans="1:11" x14ac:dyDescent="0.25">
      <c r="A337" t="s">
        <v>659</v>
      </c>
      <c r="B337" s="2">
        <v>45822</v>
      </c>
      <c r="C337" t="s">
        <v>20</v>
      </c>
      <c r="D337" t="s">
        <v>60</v>
      </c>
      <c r="E337" t="s">
        <v>27</v>
      </c>
      <c r="F337">
        <v>267398.59000000003</v>
      </c>
      <c r="G337" t="s">
        <v>28</v>
      </c>
      <c r="H337" t="s">
        <v>16</v>
      </c>
      <c r="I337" t="s">
        <v>17</v>
      </c>
      <c r="J337" t="s">
        <v>369</v>
      </c>
      <c r="K337" t="s">
        <v>18</v>
      </c>
    </row>
    <row r="338" spans="1:11" x14ac:dyDescent="0.25">
      <c r="A338" t="s">
        <v>660</v>
      </c>
      <c r="B338" s="2">
        <v>45370</v>
      </c>
      <c r="C338" t="s">
        <v>20</v>
      </c>
      <c r="D338" t="s">
        <v>37</v>
      </c>
      <c r="E338" t="s">
        <v>22</v>
      </c>
      <c r="F338">
        <v>203057.88</v>
      </c>
      <c r="G338" t="s">
        <v>28</v>
      </c>
      <c r="H338" t="s">
        <v>16</v>
      </c>
      <c r="I338" t="s">
        <v>17</v>
      </c>
      <c r="J338" t="s">
        <v>661</v>
      </c>
      <c r="K338" t="s">
        <v>18</v>
      </c>
    </row>
    <row r="339" spans="1:11" x14ac:dyDescent="0.25">
      <c r="A339" t="s">
        <v>662</v>
      </c>
      <c r="B339" s="2">
        <v>45344</v>
      </c>
      <c r="C339" t="s">
        <v>12</v>
      </c>
      <c r="D339" t="s">
        <v>60</v>
      </c>
      <c r="E339" t="s">
        <v>22</v>
      </c>
      <c r="F339">
        <v>226338.22</v>
      </c>
      <c r="G339" t="s">
        <v>28</v>
      </c>
      <c r="H339" t="s">
        <v>16</v>
      </c>
      <c r="I339" t="s">
        <v>17</v>
      </c>
      <c r="J339" t="s">
        <v>663</v>
      </c>
      <c r="K339" t="s">
        <v>18</v>
      </c>
    </row>
    <row r="340" spans="1:11" x14ac:dyDescent="0.25">
      <c r="A340" t="s">
        <v>664</v>
      </c>
      <c r="B340" s="2">
        <v>45181</v>
      </c>
      <c r="C340" t="s">
        <v>12</v>
      </c>
      <c r="D340" t="s">
        <v>37</v>
      </c>
      <c r="E340" t="s">
        <v>41</v>
      </c>
      <c r="F340">
        <v>203081.66</v>
      </c>
      <c r="G340" t="s">
        <v>38</v>
      </c>
      <c r="H340" t="s">
        <v>16</v>
      </c>
      <c r="I340" t="s">
        <v>17</v>
      </c>
      <c r="K340" t="s">
        <v>18</v>
      </c>
    </row>
    <row r="341" spans="1:11" x14ac:dyDescent="0.25">
      <c r="A341" t="s">
        <v>665</v>
      </c>
      <c r="B341" s="2">
        <v>45829</v>
      </c>
      <c r="C341" t="s">
        <v>12</v>
      </c>
      <c r="D341" t="s">
        <v>21</v>
      </c>
      <c r="E341" t="s">
        <v>140</v>
      </c>
      <c r="F341">
        <v>182564</v>
      </c>
      <c r="G341" t="s">
        <v>28</v>
      </c>
      <c r="H341" t="s">
        <v>16</v>
      </c>
      <c r="I341" t="s">
        <v>17</v>
      </c>
      <c r="J341" t="s">
        <v>666</v>
      </c>
      <c r="K341" t="s">
        <v>30</v>
      </c>
    </row>
    <row r="342" spans="1:11" x14ac:dyDescent="0.25">
      <c r="A342" t="s">
        <v>667</v>
      </c>
      <c r="B342" s="2">
        <v>45726</v>
      </c>
      <c r="C342" t="s">
        <v>12</v>
      </c>
      <c r="D342" t="s">
        <v>13</v>
      </c>
      <c r="E342" t="s">
        <v>27</v>
      </c>
      <c r="F342">
        <v>94400.11</v>
      </c>
      <c r="G342" t="s">
        <v>28</v>
      </c>
      <c r="H342" t="s">
        <v>16</v>
      </c>
      <c r="I342" t="s">
        <v>17</v>
      </c>
      <c r="J342" t="s">
        <v>668</v>
      </c>
      <c r="K342" t="s">
        <v>30</v>
      </c>
    </row>
    <row r="343" spans="1:11" x14ac:dyDescent="0.25">
      <c r="A343" t="s">
        <v>40</v>
      </c>
      <c r="B343" s="2">
        <v>45517</v>
      </c>
      <c r="C343" t="s">
        <v>25</v>
      </c>
      <c r="D343" t="s">
        <v>26</v>
      </c>
      <c r="E343" t="s">
        <v>27</v>
      </c>
      <c r="F343">
        <v>118533.2</v>
      </c>
      <c r="G343" t="s">
        <v>28</v>
      </c>
      <c r="H343" t="s">
        <v>16</v>
      </c>
      <c r="I343" t="s">
        <v>17</v>
      </c>
      <c r="J343" t="s">
        <v>669</v>
      </c>
      <c r="K343" t="s">
        <v>30</v>
      </c>
    </row>
    <row r="344" spans="1:11" x14ac:dyDescent="0.25">
      <c r="A344" t="s">
        <v>670</v>
      </c>
      <c r="B344" s="2">
        <v>45182</v>
      </c>
      <c r="C344" t="s">
        <v>12</v>
      </c>
      <c r="D344" t="s">
        <v>60</v>
      </c>
      <c r="E344" t="s">
        <v>22</v>
      </c>
      <c r="F344">
        <v>71078.77</v>
      </c>
      <c r="G344" t="s">
        <v>28</v>
      </c>
      <c r="H344" t="s">
        <v>34</v>
      </c>
      <c r="I344" t="s">
        <v>17</v>
      </c>
      <c r="J344" t="s">
        <v>671</v>
      </c>
      <c r="K344" t="s">
        <v>18</v>
      </c>
    </row>
    <row r="345" spans="1:11" x14ac:dyDescent="0.25">
      <c r="A345" t="s">
        <v>672</v>
      </c>
      <c r="B345" s="2">
        <v>45996</v>
      </c>
      <c r="C345" t="s">
        <v>25</v>
      </c>
      <c r="D345" t="s">
        <v>64</v>
      </c>
      <c r="E345" t="s">
        <v>22</v>
      </c>
      <c r="F345">
        <v>284781.82</v>
      </c>
      <c r="G345" t="s">
        <v>38</v>
      </c>
      <c r="H345" t="s">
        <v>16</v>
      </c>
      <c r="I345" t="s">
        <v>17</v>
      </c>
      <c r="J345" t="s">
        <v>673</v>
      </c>
      <c r="K345" t="s">
        <v>18</v>
      </c>
    </row>
    <row r="346" spans="1:11" x14ac:dyDescent="0.25">
      <c r="A346" t="s">
        <v>674</v>
      </c>
      <c r="B346" s="2">
        <v>45838</v>
      </c>
      <c r="C346" t="s">
        <v>25</v>
      </c>
      <c r="D346" t="s">
        <v>13</v>
      </c>
      <c r="E346" t="s">
        <v>41</v>
      </c>
      <c r="F346">
        <v>54275.65</v>
      </c>
      <c r="G346" t="s">
        <v>28</v>
      </c>
      <c r="H346" t="s">
        <v>16</v>
      </c>
      <c r="I346" t="s">
        <v>17</v>
      </c>
      <c r="J346" t="s">
        <v>675</v>
      </c>
      <c r="K346" t="s">
        <v>18</v>
      </c>
    </row>
    <row r="347" spans="1:11" x14ac:dyDescent="0.25">
      <c r="A347" t="s">
        <v>676</v>
      </c>
      <c r="B347" s="2">
        <v>45484</v>
      </c>
      <c r="C347" t="s">
        <v>20</v>
      </c>
      <c r="D347" t="s">
        <v>60</v>
      </c>
      <c r="E347" t="s">
        <v>53</v>
      </c>
      <c r="F347">
        <v>222417.23</v>
      </c>
      <c r="G347" t="s">
        <v>28</v>
      </c>
      <c r="H347" t="s">
        <v>16</v>
      </c>
      <c r="I347" t="s">
        <v>17</v>
      </c>
      <c r="J347" t="s">
        <v>677</v>
      </c>
      <c r="K347" t="s">
        <v>30</v>
      </c>
    </row>
    <row r="348" spans="1:11" x14ac:dyDescent="0.25">
      <c r="A348" t="s">
        <v>40</v>
      </c>
      <c r="B348" s="2">
        <v>45303</v>
      </c>
      <c r="C348" t="s">
        <v>25</v>
      </c>
      <c r="D348" t="s">
        <v>13</v>
      </c>
      <c r="E348" t="s">
        <v>44</v>
      </c>
      <c r="F348">
        <v>181934.51</v>
      </c>
      <c r="G348" t="s">
        <v>15</v>
      </c>
      <c r="H348" t="s">
        <v>16</v>
      </c>
      <c r="I348" t="s">
        <v>17</v>
      </c>
      <c r="J348" t="s">
        <v>678</v>
      </c>
      <c r="K348" t="s">
        <v>18</v>
      </c>
    </row>
    <row r="349" spans="1:11" x14ac:dyDescent="0.25">
      <c r="A349" t="s">
        <v>40</v>
      </c>
      <c r="B349" s="2">
        <v>45576</v>
      </c>
      <c r="C349" t="s">
        <v>12</v>
      </c>
      <c r="D349" t="s">
        <v>64</v>
      </c>
      <c r="E349" t="s">
        <v>14</v>
      </c>
      <c r="F349">
        <v>99468.78</v>
      </c>
      <c r="G349" t="s">
        <v>15</v>
      </c>
      <c r="H349" t="s">
        <v>16</v>
      </c>
      <c r="I349" t="s">
        <v>17</v>
      </c>
      <c r="J349" t="s">
        <v>679</v>
      </c>
      <c r="K349" t="s">
        <v>30</v>
      </c>
    </row>
    <row r="350" spans="1:11" x14ac:dyDescent="0.25">
      <c r="A350" t="s">
        <v>680</v>
      </c>
      <c r="B350" s="2">
        <v>45467</v>
      </c>
      <c r="C350" t="s">
        <v>59</v>
      </c>
      <c r="D350" t="s">
        <v>60</v>
      </c>
      <c r="E350" t="s">
        <v>41</v>
      </c>
      <c r="F350">
        <v>69768.929999999993</v>
      </c>
      <c r="G350" t="s">
        <v>38</v>
      </c>
      <c r="H350" t="s">
        <v>16</v>
      </c>
      <c r="I350" t="s">
        <v>17</v>
      </c>
      <c r="J350" t="s">
        <v>681</v>
      </c>
      <c r="K350" t="s">
        <v>18</v>
      </c>
    </row>
    <row r="351" spans="1:11" x14ac:dyDescent="0.25">
      <c r="A351" t="s">
        <v>682</v>
      </c>
      <c r="B351" s="2">
        <v>45670</v>
      </c>
      <c r="C351" t="s">
        <v>12</v>
      </c>
      <c r="D351" t="s">
        <v>37</v>
      </c>
      <c r="E351" t="s">
        <v>44</v>
      </c>
      <c r="F351">
        <v>130038</v>
      </c>
      <c r="G351" t="s">
        <v>38</v>
      </c>
      <c r="H351" t="s">
        <v>16</v>
      </c>
      <c r="I351" t="s">
        <v>17</v>
      </c>
      <c r="J351" t="s">
        <v>683</v>
      </c>
      <c r="K351" t="s">
        <v>18</v>
      </c>
    </row>
    <row r="352" spans="1:11" x14ac:dyDescent="0.25">
      <c r="A352" t="s">
        <v>684</v>
      </c>
      <c r="B352" s="2">
        <v>45595</v>
      </c>
      <c r="C352" t="s">
        <v>25</v>
      </c>
      <c r="D352" t="s">
        <v>13</v>
      </c>
      <c r="E352" t="s">
        <v>27</v>
      </c>
      <c r="F352">
        <v>62149.01</v>
      </c>
      <c r="G352" t="s">
        <v>15</v>
      </c>
      <c r="H352" t="s">
        <v>16</v>
      </c>
      <c r="I352" t="s">
        <v>17</v>
      </c>
      <c r="J352" t="s">
        <v>685</v>
      </c>
      <c r="K352" t="s">
        <v>18</v>
      </c>
    </row>
    <row r="353" spans="1:11" x14ac:dyDescent="0.25">
      <c r="A353" t="s">
        <v>686</v>
      </c>
      <c r="B353" s="2">
        <v>45554</v>
      </c>
      <c r="C353" t="s">
        <v>25</v>
      </c>
      <c r="D353" t="s">
        <v>46</v>
      </c>
      <c r="E353" t="s">
        <v>44</v>
      </c>
      <c r="F353">
        <v>228253.63</v>
      </c>
      <c r="G353" t="s">
        <v>38</v>
      </c>
      <c r="H353" t="s">
        <v>16</v>
      </c>
      <c r="I353" t="s">
        <v>17</v>
      </c>
      <c r="J353" t="s">
        <v>687</v>
      </c>
      <c r="K353" t="s">
        <v>18</v>
      </c>
    </row>
    <row r="354" spans="1:11" x14ac:dyDescent="0.25">
      <c r="A354" t="s">
        <v>688</v>
      </c>
      <c r="B354" s="2">
        <v>45267</v>
      </c>
      <c r="C354" t="s">
        <v>20</v>
      </c>
      <c r="D354" t="s">
        <v>21</v>
      </c>
      <c r="E354" t="s">
        <v>27</v>
      </c>
      <c r="F354">
        <v>353293.58</v>
      </c>
      <c r="G354" t="s">
        <v>15</v>
      </c>
      <c r="H354" t="s">
        <v>16</v>
      </c>
      <c r="I354" t="s">
        <v>17</v>
      </c>
      <c r="J354" t="s">
        <v>689</v>
      </c>
      <c r="K354" t="s">
        <v>18</v>
      </c>
    </row>
    <row r="355" spans="1:11" x14ac:dyDescent="0.25">
      <c r="A355" t="s">
        <v>690</v>
      </c>
      <c r="B355" s="2">
        <v>45708</v>
      </c>
      <c r="C355" t="s">
        <v>73</v>
      </c>
      <c r="D355" t="s">
        <v>64</v>
      </c>
      <c r="E355" t="s">
        <v>41</v>
      </c>
      <c r="F355">
        <v>205180.25</v>
      </c>
      <c r="G355" t="s">
        <v>15</v>
      </c>
      <c r="H355" t="s">
        <v>16</v>
      </c>
      <c r="I355" t="s">
        <v>17</v>
      </c>
      <c r="J355" t="s">
        <v>691</v>
      </c>
      <c r="K355" t="s">
        <v>18</v>
      </c>
    </row>
    <row r="356" spans="1:11" x14ac:dyDescent="0.25">
      <c r="A356" t="s">
        <v>692</v>
      </c>
      <c r="B356" s="2">
        <v>45819</v>
      </c>
      <c r="C356" t="s">
        <v>73</v>
      </c>
      <c r="D356" t="s">
        <v>60</v>
      </c>
      <c r="E356" t="s">
        <v>14</v>
      </c>
      <c r="G356" t="s">
        <v>15</v>
      </c>
      <c r="H356" t="s">
        <v>34</v>
      </c>
      <c r="I356" t="s">
        <v>17</v>
      </c>
      <c r="K356" t="s">
        <v>18</v>
      </c>
    </row>
    <row r="357" spans="1:11" x14ac:dyDescent="0.25">
      <c r="A357" t="s">
        <v>693</v>
      </c>
      <c r="B357" s="2">
        <v>45161</v>
      </c>
      <c r="C357" t="s">
        <v>20</v>
      </c>
      <c r="D357" t="s">
        <v>60</v>
      </c>
      <c r="E357" t="s">
        <v>22</v>
      </c>
      <c r="F357">
        <v>83027.520000000004</v>
      </c>
      <c r="G357" t="s">
        <v>38</v>
      </c>
      <c r="H357" t="s">
        <v>16</v>
      </c>
      <c r="I357" t="s">
        <v>17</v>
      </c>
      <c r="J357" t="s">
        <v>694</v>
      </c>
      <c r="K357" t="s">
        <v>30</v>
      </c>
    </row>
    <row r="358" spans="1:11" x14ac:dyDescent="0.25">
      <c r="A358" t="s">
        <v>695</v>
      </c>
      <c r="B358" s="2">
        <v>45587</v>
      </c>
      <c r="C358" t="s">
        <v>20</v>
      </c>
      <c r="D358" t="s">
        <v>37</v>
      </c>
      <c r="E358" t="s">
        <v>22</v>
      </c>
      <c r="F358">
        <v>80212.44</v>
      </c>
      <c r="G358" t="s">
        <v>28</v>
      </c>
      <c r="H358" t="s">
        <v>16</v>
      </c>
      <c r="I358" t="s">
        <v>17</v>
      </c>
      <c r="K358" t="s">
        <v>18</v>
      </c>
    </row>
    <row r="359" spans="1:11" x14ac:dyDescent="0.25">
      <c r="A359" t="s">
        <v>696</v>
      </c>
      <c r="B359" s="2">
        <v>45307</v>
      </c>
      <c r="C359" t="s">
        <v>73</v>
      </c>
      <c r="D359" t="s">
        <v>26</v>
      </c>
      <c r="E359" t="s">
        <v>44</v>
      </c>
      <c r="F359">
        <v>102069.5</v>
      </c>
      <c r="G359" t="s">
        <v>38</v>
      </c>
      <c r="H359" t="s">
        <v>16</v>
      </c>
      <c r="I359" t="s">
        <v>17</v>
      </c>
      <c r="J359" t="s">
        <v>697</v>
      </c>
      <c r="K359" t="s">
        <v>30</v>
      </c>
    </row>
    <row r="360" spans="1:11" x14ac:dyDescent="0.25">
      <c r="A360" t="s">
        <v>698</v>
      </c>
      <c r="B360" s="2">
        <v>45874</v>
      </c>
      <c r="C360" t="s">
        <v>20</v>
      </c>
      <c r="D360" t="s">
        <v>64</v>
      </c>
      <c r="E360" t="s">
        <v>14</v>
      </c>
      <c r="F360">
        <v>12777.98</v>
      </c>
      <c r="G360" t="s">
        <v>28</v>
      </c>
      <c r="H360" t="s">
        <v>16</v>
      </c>
      <c r="I360" t="s">
        <v>17</v>
      </c>
      <c r="J360" t="s">
        <v>699</v>
      </c>
      <c r="K360" t="s">
        <v>18</v>
      </c>
    </row>
    <row r="361" spans="1:11" x14ac:dyDescent="0.25">
      <c r="A361" t="s">
        <v>700</v>
      </c>
      <c r="B361" s="2">
        <v>45552</v>
      </c>
      <c r="C361" t="s">
        <v>20</v>
      </c>
      <c r="D361" t="s">
        <v>26</v>
      </c>
      <c r="E361" t="s">
        <v>14</v>
      </c>
      <c r="F361">
        <v>264308.84999999998</v>
      </c>
      <c r="G361" t="s">
        <v>38</v>
      </c>
      <c r="H361" t="s">
        <v>16</v>
      </c>
      <c r="I361" t="s">
        <v>17</v>
      </c>
      <c r="J361" t="s">
        <v>701</v>
      </c>
      <c r="K361" t="s">
        <v>18</v>
      </c>
    </row>
    <row r="362" spans="1:11" x14ac:dyDescent="0.25">
      <c r="A362" t="s">
        <v>702</v>
      </c>
      <c r="B362" s="2">
        <v>45463</v>
      </c>
      <c r="C362" t="s">
        <v>20</v>
      </c>
      <c r="D362" t="s">
        <v>37</v>
      </c>
      <c r="E362" t="s">
        <v>41</v>
      </c>
      <c r="F362">
        <v>35159.629999999997</v>
      </c>
      <c r="G362" t="s">
        <v>38</v>
      </c>
      <c r="H362" t="s">
        <v>16</v>
      </c>
      <c r="I362" t="s">
        <v>17</v>
      </c>
      <c r="J362" t="s">
        <v>703</v>
      </c>
      <c r="K362" t="s">
        <v>18</v>
      </c>
    </row>
    <row r="363" spans="1:11" x14ac:dyDescent="0.25">
      <c r="A363" t="s">
        <v>704</v>
      </c>
      <c r="B363" s="2">
        <v>44953</v>
      </c>
      <c r="C363" t="s">
        <v>20</v>
      </c>
      <c r="D363" t="s">
        <v>26</v>
      </c>
      <c r="E363" t="s">
        <v>14</v>
      </c>
      <c r="F363">
        <v>192784.63</v>
      </c>
      <c r="G363" t="s">
        <v>15</v>
      </c>
      <c r="H363" t="s">
        <v>16</v>
      </c>
      <c r="I363" t="s">
        <v>17</v>
      </c>
      <c r="J363" t="s">
        <v>705</v>
      </c>
      <c r="K363" t="s">
        <v>18</v>
      </c>
    </row>
    <row r="364" spans="1:11" x14ac:dyDescent="0.25">
      <c r="A364" t="s">
        <v>706</v>
      </c>
      <c r="B364" s="2">
        <v>45413</v>
      </c>
      <c r="C364" t="s">
        <v>12</v>
      </c>
      <c r="D364" t="s">
        <v>21</v>
      </c>
      <c r="E364" t="s">
        <v>22</v>
      </c>
      <c r="F364">
        <v>91364.7</v>
      </c>
      <c r="G364" t="s">
        <v>15</v>
      </c>
      <c r="H364" t="s">
        <v>16</v>
      </c>
      <c r="I364" t="s">
        <v>17</v>
      </c>
      <c r="J364" t="s">
        <v>707</v>
      </c>
      <c r="K364" t="s">
        <v>18</v>
      </c>
    </row>
    <row r="365" spans="1:11" x14ac:dyDescent="0.25">
      <c r="A365" t="s">
        <v>708</v>
      </c>
      <c r="B365" s="2">
        <v>45417</v>
      </c>
      <c r="C365" t="s">
        <v>20</v>
      </c>
      <c r="D365" t="s">
        <v>13</v>
      </c>
      <c r="E365" t="s">
        <v>41</v>
      </c>
      <c r="F365">
        <v>221227.91</v>
      </c>
      <c r="G365" t="s">
        <v>38</v>
      </c>
      <c r="H365" t="s">
        <v>16</v>
      </c>
      <c r="I365" t="s">
        <v>17</v>
      </c>
      <c r="J365" t="s">
        <v>709</v>
      </c>
      <c r="K365" t="s">
        <v>18</v>
      </c>
    </row>
    <row r="366" spans="1:11" x14ac:dyDescent="0.25">
      <c r="A366" t="s">
        <v>710</v>
      </c>
      <c r="B366" s="2">
        <v>45260</v>
      </c>
      <c r="C366" t="s">
        <v>20</v>
      </c>
      <c r="D366" t="s">
        <v>26</v>
      </c>
      <c r="E366" t="s">
        <v>41</v>
      </c>
      <c r="F366">
        <v>150885.78</v>
      </c>
      <c r="G366" t="s">
        <v>15</v>
      </c>
      <c r="H366" t="s">
        <v>16</v>
      </c>
      <c r="I366" t="s">
        <v>17</v>
      </c>
      <c r="J366" t="s">
        <v>711</v>
      </c>
      <c r="K366" t="s">
        <v>30</v>
      </c>
    </row>
    <row r="367" spans="1:11" x14ac:dyDescent="0.25">
      <c r="A367" t="s">
        <v>712</v>
      </c>
      <c r="B367" s="2">
        <v>45043</v>
      </c>
      <c r="C367" t="s">
        <v>25</v>
      </c>
      <c r="D367" t="s">
        <v>26</v>
      </c>
      <c r="E367" t="s">
        <v>22</v>
      </c>
      <c r="F367">
        <v>184395.28</v>
      </c>
      <c r="G367" t="s">
        <v>38</v>
      </c>
      <c r="H367" t="s">
        <v>16</v>
      </c>
      <c r="I367" t="s">
        <v>17</v>
      </c>
      <c r="J367" t="s">
        <v>713</v>
      </c>
      <c r="K367" t="s">
        <v>18</v>
      </c>
    </row>
    <row r="368" spans="1:11" x14ac:dyDescent="0.25">
      <c r="A368" t="s">
        <v>714</v>
      </c>
      <c r="B368" s="2">
        <v>45608</v>
      </c>
      <c r="C368" t="s">
        <v>73</v>
      </c>
      <c r="D368" t="s">
        <v>64</v>
      </c>
      <c r="E368" t="s">
        <v>53</v>
      </c>
      <c r="F368">
        <v>188597.64</v>
      </c>
      <c r="G368" t="s">
        <v>28</v>
      </c>
      <c r="H368" t="s">
        <v>16</v>
      </c>
      <c r="I368" t="s">
        <v>17</v>
      </c>
      <c r="K368" t="s">
        <v>18</v>
      </c>
    </row>
    <row r="369" spans="1:11" x14ac:dyDescent="0.25">
      <c r="A369" t="s">
        <v>715</v>
      </c>
      <c r="B369" s="2">
        <v>45616</v>
      </c>
      <c r="C369" t="s">
        <v>73</v>
      </c>
      <c r="D369" t="s">
        <v>13</v>
      </c>
      <c r="E369" t="s">
        <v>22</v>
      </c>
      <c r="F369">
        <v>185728.48</v>
      </c>
      <c r="G369" t="s">
        <v>38</v>
      </c>
      <c r="H369" t="s">
        <v>16</v>
      </c>
      <c r="I369" t="s">
        <v>17</v>
      </c>
      <c r="J369" t="s">
        <v>716</v>
      </c>
      <c r="K369" t="s">
        <v>18</v>
      </c>
    </row>
    <row r="370" spans="1:11" x14ac:dyDescent="0.25">
      <c r="A370" t="s">
        <v>717</v>
      </c>
      <c r="B370" s="2">
        <v>45994</v>
      </c>
      <c r="C370" t="s">
        <v>12</v>
      </c>
      <c r="D370" t="s">
        <v>37</v>
      </c>
      <c r="E370" t="s">
        <v>41</v>
      </c>
      <c r="F370">
        <v>107259.15</v>
      </c>
      <c r="G370" t="s">
        <v>38</v>
      </c>
      <c r="H370" t="s">
        <v>16</v>
      </c>
      <c r="I370" t="s">
        <v>17</v>
      </c>
      <c r="J370" t="s">
        <v>718</v>
      </c>
      <c r="K370" t="s">
        <v>30</v>
      </c>
    </row>
    <row r="371" spans="1:11" x14ac:dyDescent="0.25">
      <c r="A371" t="s">
        <v>719</v>
      </c>
      <c r="B371" s="2">
        <v>45739</v>
      </c>
      <c r="C371" t="s">
        <v>59</v>
      </c>
      <c r="D371" t="s">
        <v>64</v>
      </c>
      <c r="E371" t="s">
        <v>27</v>
      </c>
      <c r="F371">
        <v>138152.64000000001</v>
      </c>
      <c r="G371" t="s">
        <v>28</v>
      </c>
      <c r="H371" t="s">
        <v>16</v>
      </c>
      <c r="I371" t="s">
        <v>17</v>
      </c>
      <c r="J371" t="s">
        <v>720</v>
      </c>
      <c r="K371" t="s">
        <v>18</v>
      </c>
    </row>
    <row r="372" spans="1:11" x14ac:dyDescent="0.25">
      <c r="A372" t="s">
        <v>721</v>
      </c>
      <c r="B372" s="2">
        <v>45087</v>
      </c>
      <c r="C372" t="s">
        <v>12</v>
      </c>
      <c r="D372" t="s">
        <v>64</v>
      </c>
      <c r="E372" t="s">
        <v>44</v>
      </c>
      <c r="F372">
        <v>97391.13</v>
      </c>
      <c r="G372" t="s">
        <v>38</v>
      </c>
      <c r="H372" t="s">
        <v>34</v>
      </c>
      <c r="I372" t="s">
        <v>17</v>
      </c>
      <c r="J372" t="s">
        <v>722</v>
      </c>
      <c r="K372" t="s">
        <v>18</v>
      </c>
    </row>
    <row r="373" spans="1:11" x14ac:dyDescent="0.25">
      <c r="A373" t="s">
        <v>723</v>
      </c>
      <c r="B373" s="2">
        <v>45163</v>
      </c>
      <c r="C373" t="s">
        <v>20</v>
      </c>
      <c r="D373" t="s">
        <v>26</v>
      </c>
      <c r="E373" t="s">
        <v>41</v>
      </c>
      <c r="F373">
        <v>68211.12</v>
      </c>
      <c r="G373" t="s">
        <v>15</v>
      </c>
      <c r="H373" t="s">
        <v>16</v>
      </c>
      <c r="I373" t="s">
        <v>17</v>
      </c>
      <c r="J373" t="s">
        <v>724</v>
      </c>
      <c r="K373" t="s">
        <v>18</v>
      </c>
    </row>
    <row r="374" spans="1:11" x14ac:dyDescent="0.25">
      <c r="A374" t="s">
        <v>725</v>
      </c>
      <c r="B374" s="2">
        <v>45189</v>
      </c>
      <c r="C374" t="s">
        <v>12</v>
      </c>
      <c r="D374" t="s">
        <v>26</v>
      </c>
      <c r="E374" t="s">
        <v>41</v>
      </c>
      <c r="F374">
        <v>118908.92</v>
      </c>
      <c r="G374" t="s">
        <v>15</v>
      </c>
      <c r="H374" t="s">
        <v>16</v>
      </c>
      <c r="I374" t="s">
        <v>17</v>
      </c>
      <c r="K374" t="s">
        <v>30</v>
      </c>
    </row>
    <row r="375" spans="1:11" x14ac:dyDescent="0.25">
      <c r="A375" t="s">
        <v>726</v>
      </c>
      <c r="B375" s="2">
        <v>44962</v>
      </c>
      <c r="C375" t="s">
        <v>20</v>
      </c>
      <c r="D375" t="s">
        <v>64</v>
      </c>
      <c r="E375" t="s">
        <v>44</v>
      </c>
      <c r="F375">
        <v>67851.72</v>
      </c>
      <c r="G375" t="s">
        <v>15</v>
      </c>
      <c r="H375" t="s">
        <v>16</v>
      </c>
      <c r="I375" t="s">
        <v>17</v>
      </c>
      <c r="J375" t="s">
        <v>727</v>
      </c>
      <c r="K375" t="s">
        <v>30</v>
      </c>
    </row>
    <row r="376" spans="1:11" x14ac:dyDescent="0.25">
      <c r="A376" t="s">
        <v>40</v>
      </c>
      <c r="B376" s="2">
        <v>45058</v>
      </c>
      <c r="C376" t="s">
        <v>20</v>
      </c>
      <c r="D376" t="s">
        <v>13</v>
      </c>
      <c r="E376" t="s">
        <v>22</v>
      </c>
      <c r="F376">
        <v>143140.56</v>
      </c>
      <c r="G376" t="s">
        <v>38</v>
      </c>
      <c r="H376" t="s">
        <v>34</v>
      </c>
      <c r="I376" t="s">
        <v>17</v>
      </c>
      <c r="J376" t="s">
        <v>576</v>
      </c>
      <c r="K376" t="s">
        <v>18</v>
      </c>
    </row>
    <row r="377" spans="1:11" x14ac:dyDescent="0.25">
      <c r="A377" t="s">
        <v>728</v>
      </c>
      <c r="B377" s="2">
        <v>45434</v>
      </c>
      <c r="C377" t="s">
        <v>73</v>
      </c>
      <c r="D377" t="s">
        <v>37</v>
      </c>
      <c r="E377" t="s">
        <v>22</v>
      </c>
      <c r="F377">
        <v>167875.66</v>
      </c>
      <c r="G377" t="s">
        <v>38</v>
      </c>
      <c r="H377" t="s">
        <v>16</v>
      </c>
      <c r="I377" t="s">
        <v>17</v>
      </c>
      <c r="K377" t="s">
        <v>18</v>
      </c>
    </row>
    <row r="378" spans="1:11" x14ac:dyDescent="0.25">
      <c r="A378" t="s">
        <v>729</v>
      </c>
      <c r="B378" s="2">
        <v>45545</v>
      </c>
      <c r="C378" t="s">
        <v>20</v>
      </c>
      <c r="D378" t="s">
        <v>60</v>
      </c>
      <c r="E378" t="s">
        <v>27</v>
      </c>
      <c r="F378">
        <v>211499.74</v>
      </c>
      <c r="G378" t="s">
        <v>38</v>
      </c>
      <c r="H378" t="s">
        <v>16</v>
      </c>
      <c r="I378" t="s">
        <v>17</v>
      </c>
      <c r="J378" t="s">
        <v>730</v>
      </c>
      <c r="K378" t="s">
        <v>30</v>
      </c>
    </row>
    <row r="379" spans="1:11" x14ac:dyDescent="0.25">
      <c r="A379" t="s">
        <v>731</v>
      </c>
      <c r="B379" s="2">
        <v>45063</v>
      </c>
      <c r="C379" t="s">
        <v>20</v>
      </c>
      <c r="D379" t="s">
        <v>37</v>
      </c>
      <c r="E379" t="s">
        <v>53</v>
      </c>
      <c r="F379">
        <v>87064.48</v>
      </c>
      <c r="G379" t="s">
        <v>15</v>
      </c>
      <c r="H379" t="s">
        <v>16</v>
      </c>
      <c r="I379" t="s">
        <v>17</v>
      </c>
      <c r="J379" t="s">
        <v>732</v>
      </c>
      <c r="K379" t="s">
        <v>18</v>
      </c>
    </row>
    <row r="380" spans="1:11" x14ac:dyDescent="0.25">
      <c r="A380" t="s">
        <v>733</v>
      </c>
      <c r="B380" s="2">
        <v>45315</v>
      </c>
      <c r="C380" t="s">
        <v>25</v>
      </c>
      <c r="D380" t="s">
        <v>64</v>
      </c>
      <c r="E380" t="s">
        <v>14</v>
      </c>
      <c r="F380">
        <v>16791.93</v>
      </c>
      <c r="G380" t="s">
        <v>28</v>
      </c>
      <c r="H380" t="s">
        <v>16</v>
      </c>
      <c r="I380" t="s">
        <v>17</v>
      </c>
      <c r="J380" t="s">
        <v>734</v>
      </c>
      <c r="K380" t="s">
        <v>18</v>
      </c>
    </row>
    <row r="381" spans="1:11" x14ac:dyDescent="0.25">
      <c r="A381" t="s">
        <v>735</v>
      </c>
      <c r="B381" s="2">
        <v>44942</v>
      </c>
      <c r="C381" t="s">
        <v>12</v>
      </c>
      <c r="D381" t="s">
        <v>26</v>
      </c>
      <c r="E381" t="s">
        <v>41</v>
      </c>
      <c r="F381">
        <v>93948.160000000003</v>
      </c>
      <c r="G381" t="s">
        <v>28</v>
      </c>
      <c r="H381" t="s">
        <v>16</v>
      </c>
      <c r="I381" t="s">
        <v>17</v>
      </c>
      <c r="J381" t="s">
        <v>736</v>
      </c>
      <c r="K381" t="s">
        <v>18</v>
      </c>
    </row>
    <row r="382" spans="1:11" x14ac:dyDescent="0.25">
      <c r="A382" t="s">
        <v>737</v>
      </c>
      <c r="B382" s="2">
        <v>45050</v>
      </c>
      <c r="C382" t="s">
        <v>12</v>
      </c>
      <c r="D382" t="s">
        <v>26</v>
      </c>
      <c r="E382" t="s">
        <v>14</v>
      </c>
      <c r="F382">
        <v>192404</v>
      </c>
      <c r="G382" t="s">
        <v>28</v>
      </c>
      <c r="H382" t="s">
        <v>16</v>
      </c>
      <c r="I382" t="s">
        <v>17</v>
      </c>
      <c r="J382" t="s">
        <v>738</v>
      </c>
      <c r="K382" t="s">
        <v>30</v>
      </c>
    </row>
    <row r="383" spans="1:11" x14ac:dyDescent="0.25">
      <c r="A383" t="s">
        <v>739</v>
      </c>
      <c r="B383" s="2">
        <v>45207</v>
      </c>
      <c r="C383" t="s">
        <v>12</v>
      </c>
      <c r="D383" t="s">
        <v>46</v>
      </c>
      <c r="E383" t="s">
        <v>14</v>
      </c>
      <c r="F383">
        <v>11344.52</v>
      </c>
      <c r="G383" t="s">
        <v>15</v>
      </c>
      <c r="H383" t="s">
        <v>16</v>
      </c>
      <c r="I383" t="s">
        <v>17</v>
      </c>
      <c r="J383" t="s">
        <v>740</v>
      </c>
      <c r="K383" t="s">
        <v>18</v>
      </c>
    </row>
    <row r="384" spans="1:11" x14ac:dyDescent="0.25">
      <c r="A384" t="s">
        <v>741</v>
      </c>
      <c r="B384" s="2">
        <v>45934</v>
      </c>
      <c r="C384" t="s">
        <v>59</v>
      </c>
      <c r="D384" t="s">
        <v>64</v>
      </c>
      <c r="E384" t="s">
        <v>44</v>
      </c>
      <c r="F384">
        <v>104688.15</v>
      </c>
      <c r="G384" t="s">
        <v>38</v>
      </c>
      <c r="H384" t="s">
        <v>16</v>
      </c>
      <c r="I384" t="s">
        <v>17</v>
      </c>
      <c r="J384" t="s">
        <v>742</v>
      </c>
      <c r="K384" t="s">
        <v>30</v>
      </c>
    </row>
    <row r="385" spans="1:11" x14ac:dyDescent="0.25">
      <c r="A385" t="s">
        <v>743</v>
      </c>
      <c r="B385" s="2">
        <v>45609</v>
      </c>
      <c r="C385" t="s">
        <v>73</v>
      </c>
      <c r="D385" t="s">
        <v>64</v>
      </c>
      <c r="E385" t="s">
        <v>22</v>
      </c>
      <c r="F385">
        <v>98582.99</v>
      </c>
      <c r="G385" t="s">
        <v>15</v>
      </c>
      <c r="H385" t="s">
        <v>16</v>
      </c>
      <c r="I385" t="s">
        <v>17</v>
      </c>
      <c r="J385" t="s">
        <v>744</v>
      </c>
      <c r="K385" t="s">
        <v>18</v>
      </c>
    </row>
    <row r="386" spans="1:11" x14ac:dyDescent="0.25">
      <c r="A386" t="s">
        <v>745</v>
      </c>
      <c r="B386" s="2">
        <v>45354</v>
      </c>
      <c r="C386" t="s">
        <v>25</v>
      </c>
      <c r="D386" t="s">
        <v>26</v>
      </c>
      <c r="E386" t="s">
        <v>14</v>
      </c>
      <c r="F386">
        <v>16760.72</v>
      </c>
      <c r="G386" t="s">
        <v>38</v>
      </c>
      <c r="H386" t="s">
        <v>16</v>
      </c>
      <c r="I386" t="s">
        <v>17</v>
      </c>
      <c r="J386" t="s">
        <v>746</v>
      </c>
      <c r="K386" t="s">
        <v>30</v>
      </c>
    </row>
    <row r="387" spans="1:11" x14ac:dyDescent="0.25">
      <c r="A387" t="s">
        <v>747</v>
      </c>
      <c r="B387" s="2">
        <v>45171</v>
      </c>
      <c r="C387" t="s">
        <v>73</v>
      </c>
      <c r="D387" t="s">
        <v>60</v>
      </c>
      <c r="E387" t="s">
        <v>14</v>
      </c>
      <c r="F387">
        <v>89842.47</v>
      </c>
      <c r="G387" t="s">
        <v>38</v>
      </c>
      <c r="H387" t="s">
        <v>16</v>
      </c>
      <c r="I387" t="s">
        <v>17</v>
      </c>
      <c r="J387" t="s">
        <v>748</v>
      </c>
      <c r="K387" t="s">
        <v>18</v>
      </c>
    </row>
    <row r="388" spans="1:11" x14ac:dyDescent="0.25">
      <c r="A388" t="s">
        <v>749</v>
      </c>
      <c r="B388" s="2">
        <v>45289</v>
      </c>
      <c r="C388" t="s">
        <v>25</v>
      </c>
      <c r="D388" t="s">
        <v>13</v>
      </c>
      <c r="E388" t="s">
        <v>27</v>
      </c>
      <c r="F388">
        <v>118820.84</v>
      </c>
      <c r="G388" t="s">
        <v>28</v>
      </c>
      <c r="H388" t="s">
        <v>16</v>
      </c>
      <c r="I388" t="s">
        <v>17</v>
      </c>
      <c r="J388" t="s">
        <v>750</v>
      </c>
      <c r="K388" t="s">
        <v>18</v>
      </c>
    </row>
    <row r="389" spans="1:11" x14ac:dyDescent="0.25">
      <c r="A389" t="s">
        <v>751</v>
      </c>
      <c r="B389" s="2">
        <v>45996</v>
      </c>
      <c r="C389" t="s">
        <v>20</v>
      </c>
      <c r="D389" t="s">
        <v>64</v>
      </c>
      <c r="E389" t="s">
        <v>14</v>
      </c>
      <c r="F389">
        <v>146924.73000000001</v>
      </c>
      <c r="G389" t="s">
        <v>28</v>
      </c>
      <c r="H389" t="s">
        <v>16</v>
      </c>
      <c r="I389" t="s">
        <v>17</v>
      </c>
      <c r="J389" t="s">
        <v>730</v>
      </c>
      <c r="K389" t="s">
        <v>18</v>
      </c>
    </row>
    <row r="390" spans="1:11" x14ac:dyDescent="0.25">
      <c r="A390" t="s">
        <v>752</v>
      </c>
      <c r="B390" s="2">
        <v>45233</v>
      </c>
      <c r="C390" t="s">
        <v>25</v>
      </c>
      <c r="D390" t="s">
        <v>64</v>
      </c>
      <c r="E390" t="s">
        <v>14</v>
      </c>
      <c r="F390">
        <v>102621.42</v>
      </c>
      <c r="G390" t="s">
        <v>15</v>
      </c>
      <c r="H390" t="s">
        <v>16</v>
      </c>
      <c r="I390" t="s">
        <v>17</v>
      </c>
      <c r="J390" t="s">
        <v>753</v>
      </c>
      <c r="K390" t="s">
        <v>18</v>
      </c>
    </row>
    <row r="391" spans="1:11" x14ac:dyDescent="0.25">
      <c r="A391" t="s">
        <v>754</v>
      </c>
      <c r="B391" s="2">
        <v>45906</v>
      </c>
      <c r="C391" t="s">
        <v>73</v>
      </c>
      <c r="D391" t="s">
        <v>60</v>
      </c>
      <c r="E391" t="s">
        <v>41</v>
      </c>
      <c r="F391">
        <v>51026.62</v>
      </c>
      <c r="G391" t="s">
        <v>38</v>
      </c>
      <c r="H391" t="s">
        <v>16</v>
      </c>
      <c r="I391" t="s">
        <v>17</v>
      </c>
      <c r="J391" t="s">
        <v>755</v>
      </c>
      <c r="K391" t="s">
        <v>18</v>
      </c>
    </row>
    <row r="392" spans="1:11" x14ac:dyDescent="0.25">
      <c r="A392" t="s">
        <v>756</v>
      </c>
      <c r="B392" s="2">
        <v>45722</v>
      </c>
      <c r="C392" t="s">
        <v>20</v>
      </c>
      <c r="D392" t="s">
        <v>26</v>
      </c>
      <c r="E392" t="s">
        <v>44</v>
      </c>
      <c r="F392">
        <v>288157.83</v>
      </c>
      <c r="G392" t="s">
        <v>38</v>
      </c>
      <c r="H392" t="s">
        <v>16</v>
      </c>
      <c r="I392" t="s">
        <v>17</v>
      </c>
      <c r="J392" t="s">
        <v>757</v>
      </c>
      <c r="K392" t="s">
        <v>30</v>
      </c>
    </row>
    <row r="393" spans="1:11" x14ac:dyDescent="0.25">
      <c r="A393" t="s">
        <v>758</v>
      </c>
      <c r="B393" s="2">
        <v>45335</v>
      </c>
      <c r="C393" t="s">
        <v>12</v>
      </c>
      <c r="D393" t="s">
        <v>64</v>
      </c>
      <c r="E393" t="s">
        <v>44</v>
      </c>
      <c r="F393">
        <v>222054.57</v>
      </c>
      <c r="G393" t="s">
        <v>38</v>
      </c>
      <c r="H393" t="s">
        <v>16</v>
      </c>
      <c r="I393" t="s">
        <v>17</v>
      </c>
      <c r="J393" t="s">
        <v>759</v>
      </c>
      <c r="K393" t="s">
        <v>18</v>
      </c>
    </row>
    <row r="394" spans="1:11" x14ac:dyDescent="0.25">
      <c r="A394" t="s">
        <v>760</v>
      </c>
      <c r="B394" s="2">
        <v>45515</v>
      </c>
      <c r="C394" t="s">
        <v>73</v>
      </c>
      <c r="D394" t="s">
        <v>64</v>
      </c>
      <c r="E394" t="s">
        <v>22</v>
      </c>
      <c r="F394">
        <v>178625.34</v>
      </c>
      <c r="G394" t="s">
        <v>28</v>
      </c>
      <c r="H394" t="s">
        <v>16</v>
      </c>
      <c r="I394" t="s">
        <v>17</v>
      </c>
      <c r="J394" t="s">
        <v>761</v>
      </c>
      <c r="K394" t="s">
        <v>18</v>
      </c>
    </row>
    <row r="395" spans="1:11" x14ac:dyDescent="0.25">
      <c r="A395" t="s">
        <v>40</v>
      </c>
      <c r="B395" s="2">
        <v>45800</v>
      </c>
      <c r="C395" t="s">
        <v>12</v>
      </c>
      <c r="D395" t="s">
        <v>64</v>
      </c>
      <c r="E395" t="s">
        <v>156</v>
      </c>
      <c r="F395">
        <v>19564.75</v>
      </c>
      <c r="G395" t="s">
        <v>28</v>
      </c>
      <c r="H395" t="s">
        <v>16</v>
      </c>
      <c r="I395" t="s">
        <v>17</v>
      </c>
      <c r="J395" t="s">
        <v>762</v>
      </c>
      <c r="K395" t="s">
        <v>18</v>
      </c>
    </row>
    <row r="396" spans="1:11" x14ac:dyDescent="0.25">
      <c r="A396" t="s">
        <v>763</v>
      </c>
      <c r="B396" s="2">
        <v>45043</v>
      </c>
      <c r="C396" t="s">
        <v>73</v>
      </c>
      <c r="D396" t="s">
        <v>46</v>
      </c>
      <c r="E396" t="s">
        <v>41</v>
      </c>
      <c r="F396">
        <v>15567.47</v>
      </c>
      <c r="G396" t="s">
        <v>38</v>
      </c>
      <c r="H396" t="s">
        <v>16</v>
      </c>
      <c r="I396" t="s">
        <v>17</v>
      </c>
      <c r="J396" t="s">
        <v>764</v>
      </c>
      <c r="K396" t="s">
        <v>18</v>
      </c>
    </row>
    <row r="397" spans="1:11" x14ac:dyDescent="0.25">
      <c r="A397" t="s">
        <v>765</v>
      </c>
      <c r="B397" s="2">
        <v>45149</v>
      </c>
      <c r="C397" t="s">
        <v>20</v>
      </c>
      <c r="D397" t="s">
        <v>64</v>
      </c>
      <c r="E397" t="s">
        <v>22</v>
      </c>
      <c r="F397">
        <v>217123.07</v>
      </c>
      <c r="G397" t="s">
        <v>28</v>
      </c>
      <c r="H397" t="s">
        <v>16</v>
      </c>
      <c r="I397" t="s">
        <v>17</v>
      </c>
      <c r="J397" t="s">
        <v>766</v>
      </c>
      <c r="K397" t="s">
        <v>18</v>
      </c>
    </row>
    <row r="398" spans="1:11" x14ac:dyDescent="0.25">
      <c r="A398" t="s">
        <v>767</v>
      </c>
      <c r="B398" s="2">
        <v>44945</v>
      </c>
      <c r="C398" t="s">
        <v>25</v>
      </c>
      <c r="D398" t="s">
        <v>37</v>
      </c>
      <c r="E398" t="s">
        <v>22</v>
      </c>
      <c r="F398">
        <v>42042.02</v>
      </c>
      <c r="G398" t="s">
        <v>38</v>
      </c>
      <c r="H398" t="s">
        <v>16</v>
      </c>
      <c r="I398" t="s">
        <v>17</v>
      </c>
      <c r="K398" t="s">
        <v>30</v>
      </c>
    </row>
    <row r="399" spans="1:11" x14ac:dyDescent="0.25">
      <c r="A399" t="s">
        <v>768</v>
      </c>
      <c r="B399" s="2">
        <v>45098</v>
      </c>
      <c r="C399" t="s">
        <v>73</v>
      </c>
      <c r="D399" t="s">
        <v>13</v>
      </c>
      <c r="E399" t="s">
        <v>41</v>
      </c>
      <c r="F399">
        <v>39293.78</v>
      </c>
      <c r="G399" t="s">
        <v>28</v>
      </c>
      <c r="H399" t="s">
        <v>16</v>
      </c>
      <c r="I399" t="s">
        <v>17</v>
      </c>
      <c r="K399" t="s">
        <v>30</v>
      </c>
    </row>
    <row r="400" spans="1:11" x14ac:dyDescent="0.25">
      <c r="A400" t="s">
        <v>769</v>
      </c>
      <c r="B400" s="2">
        <v>45141</v>
      </c>
      <c r="C400" t="s">
        <v>20</v>
      </c>
      <c r="D400" t="s">
        <v>21</v>
      </c>
      <c r="E400" t="s">
        <v>41</v>
      </c>
      <c r="F400">
        <v>233786.86</v>
      </c>
      <c r="G400" t="s">
        <v>28</v>
      </c>
      <c r="H400" t="s">
        <v>16</v>
      </c>
      <c r="I400" t="s">
        <v>17</v>
      </c>
      <c r="J400" t="s">
        <v>74</v>
      </c>
      <c r="K400" t="s">
        <v>30</v>
      </c>
    </row>
    <row r="401" spans="1:11" x14ac:dyDescent="0.25">
      <c r="A401" t="s">
        <v>770</v>
      </c>
      <c r="B401" s="2">
        <v>45456</v>
      </c>
      <c r="C401" t="s">
        <v>12</v>
      </c>
      <c r="D401" t="s">
        <v>37</v>
      </c>
      <c r="E401" t="s">
        <v>22</v>
      </c>
      <c r="F401">
        <v>30668.799999999999</v>
      </c>
      <c r="G401" t="s">
        <v>28</v>
      </c>
      <c r="H401" t="s">
        <v>16</v>
      </c>
      <c r="I401" t="s">
        <v>17</v>
      </c>
      <c r="J401" t="s">
        <v>771</v>
      </c>
      <c r="K401" t="s">
        <v>18</v>
      </c>
    </row>
    <row r="402" spans="1:11" x14ac:dyDescent="0.25">
      <c r="A402" t="s">
        <v>772</v>
      </c>
      <c r="B402" s="2">
        <v>45781</v>
      </c>
      <c r="C402" t="s">
        <v>12</v>
      </c>
      <c r="D402" t="s">
        <v>26</v>
      </c>
      <c r="E402" t="s">
        <v>41</v>
      </c>
      <c r="F402">
        <v>117904.37</v>
      </c>
      <c r="G402" t="s">
        <v>28</v>
      </c>
      <c r="H402" t="s">
        <v>34</v>
      </c>
      <c r="I402" t="s">
        <v>17</v>
      </c>
      <c r="J402" t="s">
        <v>773</v>
      </c>
      <c r="K402" t="s">
        <v>30</v>
      </c>
    </row>
    <row r="403" spans="1:11" x14ac:dyDescent="0.25">
      <c r="A403" t="s">
        <v>774</v>
      </c>
      <c r="B403" s="2">
        <v>45489</v>
      </c>
      <c r="C403" t="s">
        <v>25</v>
      </c>
      <c r="D403" t="s">
        <v>64</v>
      </c>
      <c r="E403" t="s">
        <v>41</v>
      </c>
      <c r="F403">
        <v>27181.06</v>
      </c>
      <c r="G403" t="s">
        <v>28</v>
      </c>
      <c r="H403" t="s">
        <v>16</v>
      </c>
      <c r="I403" t="s">
        <v>17</v>
      </c>
      <c r="J403" t="s">
        <v>775</v>
      </c>
      <c r="K403" t="s">
        <v>18</v>
      </c>
    </row>
    <row r="404" spans="1:11" x14ac:dyDescent="0.25">
      <c r="A404" t="s">
        <v>776</v>
      </c>
      <c r="B404" s="2">
        <v>45153</v>
      </c>
      <c r="C404" t="s">
        <v>12</v>
      </c>
      <c r="D404" t="s">
        <v>64</v>
      </c>
      <c r="E404" t="s">
        <v>27</v>
      </c>
      <c r="F404">
        <v>79633.149999999994</v>
      </c>
      <c r="G404" t="s">
        <v>38</v>
      </c>
      <c r="H404" t="s">
        <v>16</v>
      </c>
      <c r="I404" t="s">
        <v>17</v>
      </c>
      <c r="J404" t="s">
        <v>777</v>
      </c>
      <c r="K404" t="s">
        <v>30</v>
      </c>
    </row>
    <row r="405" spans="1:11" x14ac:dyDescent="0.25">
      <c r="A405" t="s">
        <v>778</v>
      </c>
      <c r="B405" s="2">
        <v>45271</v>
      </c>
      <c r="C405" t="s">
        <v>12</v>
      </c>
      <c r="D405" t="s">
        <v>64</v>
      </c>
      <c r="E405" t="s">
        <v>14</v>
      </c>
      <c r="F405">
        <v>198293</v>
      </c>
      <c r="G405" t="s">
        <v>15</v>
      </c>
      <c r="H405" t="s">
        <v>16</v>
      </c>
      <c r="I405" t="s">
        <v>17</v>
      </c>
      <c r="J405" t="s">
        <v>779</v>
      </c>
      <c r="K405" t="s">
        <v>18</v>
      </c>
    </row>
    <row r="406" spans="1:11" x14ac:dyDescent="0.25">
      <c r="A406" t="s">
        <v>780</v>
      </c>
      <c r="B406" s="2">
        <v>45799</v>
      </c>
      <c r="C406" t="s">
        <v>25</v>
      </c>
      <c r="D406" t="s">
        <v>64</v>
      </c>
      <c r="E406" t="s">
        <v>41</v>
      </c>
      <c r="F406">
        <v>120245.92</v>
      </c>
      <c r="G406" t="s">
        <v>15</v>
      </c>
      <c r="H406" t="s">
        <v>16</v>
      </c>
      <c r="I406" t="s">
        <v>17</v>
      </c>
      <c r="J406" t="s">
        <v>781</v>
      </c>
      <c r="K406" t="s">
        <v>30</v>
      </c>
    </row>
    <row r="407" spans="1:11" x14ac:dyDescent="0.25">
      <c r="A407" t="s">
        <v>782</v>
      </c>
      <c r="B407" s="2">
        <v>45121</v>
      </c>
      <c r="C407" t="s">
        <v>12</v>
      </c>
      <c r="D407" t="s">
        <v>64</v>
      </c>
      <c r="E407" t="s">
        <v>22</v>
      </c>
      <c r="F407">
        <v>206938.52</v>
      </c>
      <c r="G407" t="s">
        <v>38</v>
      </c>
      <c r="H407" t="s">
        <v>16</v>
      </c>
      <c r="I407" t="s">
        <v>17</v>
      </c>
      <c r="K407" t="s">
        <v>18</v>
      </c>
    </row>
    <row r="408" spans="1:11" x14ac:dyDescent="0.25">
      <c r="A408" t="s">
        <v>783</v>
      </c>
      <c r="B408" s="2">
        <v>45107</v>
      </c>
      <c r="C408" t="s">
        <v>73</v>
      </c>
      <c r="D408" t="s">
        <v>64</v>
      </c>
      <c r="E408" t="s">
        <v>44</v>
      </c>
      <c r="F408">
        <v>7496.75</v>
      </c>
      <c r="G408" t="s">
        <v>28</v>
      </c>
      <c r="H408" t="s">
        <v>16</v>
      </c>
      <c r="I408" t="s">
        <v>17</v>
      </c>
      <c r="J408" t="s">
        <v>784</v>
      </c>
      <c r="K408" t="s">
        <v>18</v>
      </c>
    </row>
    <row r="409" spans="1:11" x14ac:dyDescent="0.25">
      <c r="A409" t="s">
        <v>785</v>
      </c>
      <c r="B409" s="2">
        <v>45975</v>
      </c>
      <c r="C409" t="s">
        <v>12</v>
      </c>
      <c r="D409" t="s">
        <v>37</v>
      </c>
      <c r="E409" t="s">
        <v>22</v>
      </c>
      <c r="F409">
        <v>204777.03</v>
      </c>
      <c r="G409" t="s">
        <v>15</v>
      </c>
      <c r="H409" t="s">
        <v>34</v>
      </c>
      <c r="I409" t="s">
        <v>17</v>
      </c>
      <c r="J409" t="s">
        <v>417</v>
      </c>
      <c r="K409" t="s">
        <v>18</v>
      </c>
    </row>
    <row r="410" spans="1:11" x14ac:dyDescent="0.25">
      <c r="A410" t="s">
        <v>786</v>
      </c>
      <c r="B410" s="2">
        <v>45792</v>
      </c>
      <c r="C410" t="s">
        <v>25</v>
      </c>
      <c r="D410" t="s">
        <v>26</v>
      </c>
      <c r="E410" t="s">
        <v>44</v>
      </c>
      <c r="F410">
        <v>196240.65</v>
      </c>
      <c r="G410" t="s">
        <v>15</v>
      </c>
      <c r="H410" t="s">
        <v>16</v>
      </c>
      <c r="I410" t="s">
        <v>17</v>
      </c>
      <c r="J410" t="s">
        <v>787</v>
      </c>
      <c r="K410" t="s">
        <v>30</v>
      </c>
    </row>
    <row r="411" spans="1:11" x14ac:dyDescent="0.25">
      <c r="A411" t="s">
        <v>788</v>
      </c>
      <c r="B411" s="2">
        <v>44934</v>
      </c>
      <c r="C411" t="s">
        <v>25</v>
      </c>
      <c r="D411" t="s">
        <v>60</v>
      </c>
      <c r="E411" t="s">
        <v>14</v>
      </c>
      <c r="F411">
        <v>63341.919999999998</v>
      </c>
      <c r="G411" t="s">
        <v>28</v>
      </c>
      <c r="H411" t="s">
        <v>16</v>
      </c>
      <c r="I411" t="s">
        <v>17</v>
      </c>
      <c r="J411" t="s">
        <v>789</v>
      </c>
      <c r="K411" t="s">
        <v>18</v>
      </c>
    </row>
    <row r="412" spans="1:11" x14ac:dyDescent="0.25">
      <c r="A412" t="s">
        <v>40</v>
      </c>
      <c r="B412" s="2">
        <v>44936</v>
      </c>
      <c r="C412" t="s">
        <v>25</v>
      </c>
      <c r="D412" t="s">
        <v>64</v>
      </c>
      <c r="E412" t="s">
        <v>22</v>
      </c>
      <c r="F412">
        <v>194375.18</v>
      </c>
      <c r="G412" t="s">
        <v>15</v>
      </c>
      <c r="H412" t="s">
        <v>16</v>
      </c>
      <c r="I412" t="s">
        <v>17</v>
      </c>
      <c r="J412" t="s">
        <v>790</v>
      </c>
      <c r="K412" t="s">
        <v>18</v>
      </c>
    </row>
    <row r="413" spans="1:11" x14ac:dyDescent="0.25">
      <c r="A413" t="s">
        <v>791</v>
      </c>
      <c r="B413" s="2">
        <v>45774</v>
      </c>
      <c r="C413" t="s">
        <v>12</v>
      </c>
      <c r="D413" t="s">
        <v>37</v>
      </c>
      <c r="E413" t="s">
        <v>14</v>
      </c>
      <c r="F413">
        <v>154446.92000000001</v>
      </c>
      <c r="G413" t="s">
        <v>38</v>
      </c>
      <c r="H413" t="s">
        <v>16</v>
      </c>
      <c r="I413" t="s">
        <v>17</v>
      </c>
      <c r="J413" t="s">
        <v>792</v>
      </c>
      <c r="K413" t="s">
        <v>18</v>
      </c>
    </row>
    <row r="414" spans="1:11" x14ac:dyDescent="0.25">
      <c r="A414" t="s">
        <v>793</v>
      </c>
      <c r="B414" s="2">
        <v>45054</v>
      </c>
      <c r="C414" t="s">
        <v>20</v>
      </c>
      <c r="D414" t="s">
        <v>13</v>
      </c>
      <c r="E414" t="s">
        <v>27</v>
      </c>
      <c r="F414">
        <v>7018.94</v>
      </c>
      <c r="G414" t="s">
        <v>15</v>
      </c>
      <c r="H414" t="s">
        <v>16</v>
      </c>
      <c r="I414" t="s">
        <v>17</v>
      </c>
      <c r="J414" t="s">
        <v>794</v>
      </c>
      <c r="K414" t="s">
        <v>30</v>
      </c>
    </row>
    <row r="415" spans="1:11" x14ac:dyDescent="0.25">
      <c r="A415" t="s">
        <v>795</v>
      </c>
      <c r="B415" s="2">
        <v>45310</v>
      </c>
      <c r="C415" t="s">
        <v>25</v>
      </c>
      <c r="D415" t="s">
        <v>21</v>
      </c>
      <c r="E415" t="s">
        <v>22</v>
      </c>
      <c r="F415">
        <v>155907.6</v>
      </c>
      <c r="G415" t="s">
        <v>38</v>
      </c>
      <c r="H415" t="s">
        <v>16</v>
      </c>
      <c r="I415" t="s">
        <v>17</v>
      </c>
      <c r="J415" t="s">
        <v>796</v>
      </c>
      <c r="K415" t="s">
        <v>18</v>
      </c>
    </row>
    <row r="416" spans="1:11" x14ac:dyDescent="0.25">
      <c r="A416" t="s">
        <v>797</v>
      </c>
      <c r="B416" s="2">
        <v>45488</v>
      </c>
      <c r="C416" t="s">
        <v>25</v>
      </c>
      <c r="D416" t="s">
        <v>60</v>
      </c>
      <c r="E416" t="s">
        <v>41</v>
      </c>
      <c r="F416">
        <v>52054.01</v>
      </c>
      <c r="G416" t="s">
        <v>15</v>
      </c>
      <c r="H416" t="s">
        <v>16</v>
      </c>
      <c r="I416" t="s">
        <v>17</v>
      </c>
      <c r="J416" t="s">
        <v>798</v>
      </c>
      <c r="K416" t="s">
        <v>30</v>
      </c>
    </row>
    <row r="417" spans="1:11" x14ac:dyDescent="0.25">
      <c r="A417" t="s">
        <v>799</v>
      </c>
      <c r="B417" s="2">
        <v>45088</v>
      </c>
      <c r="C417" t="s">
        <v>59</v>
      </c>
      <c r="D417" t="s">
        <v>13</v>
      </c>
      <c r="E417" t="s">
        <v>44</v>
      </c>
      <c r="F417">
        <v>51393.66</v>
      </c>
      <c r="G417" t="s">
        <v>15</v>
      </c>
      <c r="H417" t="s">
        <v>34</v>
      </c>
      <c r="I417" t="s">
        <v>17</v>
      </c>
      <c r="J417" t="s">
        <v>800</v>
      </c>
      <c r="K417" t="s">
        <v>18</v>
      </c>
    </row>
    <row r="418" spans="1:11" x14ac:dyDescent="0.25">
      <c r="A418" t="s">
        <v>801</v>
      </c>
      <c r="B418" s="2">
        <v>45072</v>
      </c>
      <c r="C418" t="s">
        <v>25</v>
      </c>
      <c r="D418" t="s">
        <v>60</v>
      </c>
      <c r="E418" t="s">
        <v>140</v>
      </c>
      <c r="F418">
        <v>209734</v>
      </c>
      <c r="G418" t="s">
        <v>38</v>
      </c>
      <c r="H418" t="s">
        <v>16</v>
      </c>
      <c r="I418" t="s">
        <v>17</v>
      </c>
      <c r="J418" t="s">
        <v>802</v>
      </c>
      <c r="K418" t="s">
        <v>18</v>
      </c>
    </row>
    <row r="419" spans="1:11" x14ac:dyDescent="0.25">
      <c r="A419" t="s">
        <v>803</v>
      </c>
      <c r="B419" s="2">
        <v>46007</v>
      </c>
      <c r="C419" t="s">
        <v>73</v>
      </c>
      <c r="D419" t="s">
        <v>13</v>
      </c>
      <c r="E419" t="s">
        <v>44</v>
      </c>
      <c r="F419">
        <v>11872.93</v>
      </c>
      <c r="G419" t="s">
        <v>38</v>
      </c>
      <c r="H419" t="s">
        <v>34</v>
      </c>
      <c r="I419" t="s">
        <v>17</v>
      </c>
      <c r="J419" t="s">
        <v>804</v>
      </c>
      <c r="K419" t="s">
        <v>18</v>
      </c>
    </row>
    <row r="420" spans="1:11" x14ac:dyDescent="0.25">
      <c r="A420" t="s">
        <v>805</v>
      </c>
      <c r="B420" s="2">
        <v>45588</v>
      </c>
      <c r="C420" t="s">
        <v>12</v>
      </c>
      <c r="D420" t="s">
        <v>13</v>
      </c>
      <c r="E420" t="s">
        <v>27</v>
      </c>
      <c r="F420">
        <v>123369.96</v>
      </c>
      <c r="G420" t="s">
        <v>15</v>
      </c>
      <c r="H420" t="s">
        <v>34</v>
      </c>
      <c r="I420" t="s">
        <v>17</v>
      </c>
      <c r="J420" t="s">
        <v>806</v>
      </c>
      <c r="K420" t="s">
        <v>18</v>
      </c>
    </row>
    <row r="421" spans="1:11" x14ac:dyDescent="0.25">
      <c r="A421" t="s">
        <v>807</v>
      </c>
      <c r="B421" s="2">
        <v>45354</v>
      </c>
      <c r="C421" t="s">
        <v>25</v>
      </c>
      <c r="D421" t="s">
        <v>46</v>
      </c>
      <c r="E421" t="s">
        <v>41</v>
      </c>
      <c r="F421">
        <v>183889.77</v>
      </c>
      <c r="G421" t="s">
        <v>28</v>
      </c>
      <c r="H421" t="s">
        <v>16</v>
      </c>
      <c r="I421" t="s">
        <v>17</v>
      </c>
      <c r="J421" t="s">
        <v>808</v>
      </c>
      <c r="K421" t="s">
        <v>30</v>
      </c>
    </row>
    <row r="422" spans="1:11" x14ac:dyDescent="0.25">
      <c r="A422" t="s">
        <v>809</v>
      </c>
      <c r="B422" s="2">
        <v>45317</v>
      </c>
      <c r="C422" t="s">
        <v>25</v>
      </c>
      <c r="D422" t="s">
        <v>64</v>
      </c>
      <c r="E422" t="s">
        <v>27</v>
      </c>
      <c r="F422">
        <v>227528.14</v>
      </c>
      <c r="G422" t="s">
        <v>38</v>
      </c>
      <c r="H422" t="s">
        <v>16</v>
      </c>
      <c r="I422" t="s">
        <v>17</v>
      </c>
      <c r="J422" t="s">
        <v>810</v>
      </c>
      <c r="K422" t="s">
        <v>30</v>
      </c>
    </row>
    <row r="423" spans="1:11" x14ac:dyDescent="0.25">
      <c r="A423" t="s">
        <v>811</v>
      </c>
      <c r="B423" s="2">
        <v>45109</v>
      </c>
      <c r="C423" t="s">
        <v>73</v>
      </c>
      <c r="D423" t="s">
        <v>60</v>
      </c>
      <c r="E423" t="s">
        <v>41</v>
      </c>
      <c r="F423">
        <v>190077.53</v>
      </c>
      <c r="G423" t="s">
        <v>15</v>
      </c>
      <c r="H423" t="s">
        <v>16</v>
      </c>
      <c r="I423" t="s">
        <v>17</v>
      </c>
      <c r="K423" t="s">
        <v>18</v>
      </c>
    </row>
    <row r="424" spans="1:11" x14ac:dyDescent="0.25">
      <c r="A424" t="s">
        <v>812</v>
      </c>
      <c r="B424" s="2">
        <v>44962</v>
      </c>
      <c r="C424" t="s">
        <v>12</v>
      </c>
      <c r="D424" t="s">
        <v>13</v>
      </c>
      <c r="E424" t="s">
        <v>44</v>
      </c>
      <c r="F424">
        <v>116510.44</v>
      </c>
      <c r="G424" t="s">
        <v>28</v>
      </c>
      <c r="H424" t="s">
        <v>16</v>
      </c>
      <c r="I424" t="s">
        <v>17</v>
      </c>
      <c r="J424" t="s">
        <v>813</v>
      </c>
      <c r="K424" t="s">
        <v>18</v>
      </c>
    </row>
    <row r="425" spans="1:11" x14ac:dyDescent="0.25">
      <c r="A425" t="s">
        <v>40</v>
      </c>
      <c r="B425" s="2">
        <v>45348</v>
      </c>
      <c r="C425" t="s">
        <v>73</v>
      </c>
      <c r="D425" t="s">
        <v>60</v>
      </c>
      <c r="E425" t="s">
        <v>27</v>
      </c>
      <c r="F425">
        <v>143456.28</v>
      </c>
      <c r="G425" t="s">
        <v>38</v>
      </c>
      <c r="H425" t="s">
        <v>16</v>
      </c>
      <c r="I425" t="s">
        <v>17</v>
      </c>
      <c r="J425" t="s">
        <v>814</v>
      </c>
      <c r="K425" t="s">
        <v>18</v>
      </c>
    </row>
    <row r="426" spans="1:11" x14ac:dyDescent="0.25">
      <c r="A426" t="s">
        <v>815</v>
      </c>
      <c r="B426" s="2">
        <v>45326</v>
      </c>
      <c r="C426" t="s">
        <v>59</v>
      </c>
      <c r="D426" t="s">
        <v>26</v>
      </c>
      <c r="E426" t="s">
        <v>53</v>
      </c>
      <c r="F426">
        <v>186093.39</v>
      </c>
      <c r="G426" t="s">
        <v>38</v>
      </c>
      <c r="H426" t="s">
        <v>16</v>
      </c>
      <c r="I426" t="s">
        <v>17</v>
      </c>
      <c r="J426" t="s">
        <v>393</v>
      </c>
      <c r="K426" t="s">
        <v>30</v>
      </c>
    </row>
    <row r="427" spans="1:11" x14ac:dyDescent="0.25">
      <c r="A427" t="s">
        <v>816</v>
      </c>
      <c r="B427" s="2">
        <v>45778</v>
      </c>
      <c r="C427" t="s">
        <v>20</v>
      </c>
      <c r="D427" t="s">
        <v>60</v>
      </c>
      <c r="E427" t="s">
        <v>44</v>
      </c>
      <c r="F427">
        <v>6141.94</v>
      </c>
      <c r="G427" t="s">
        <v>38</v>
      </c>
      <c r="H427" t="s">
        <v>16</v>
      </c>
      <c r="I427" t="s">
        <v>17</v>
      </c>
      <c r="K427" t="s">
        <v>18</v>
      </c>
    </row>
    <row r="428" spans="1:11" x14ac:dyDescent="0.25">
      <c r="A428" t="s">
        <v>817</v>
      </c>
      <c r="B428" s="2">
        <v>45240</v>
      </c>
      <c r="C428" t="s">
        <v>25</v>
      </c>
      <c r="D428" t="s">
        <v>26</v>
      </c>
      <c r="E428" t="s">
        <v>22</v>
      </c>
      <c r="F428">
        <v>140031.49</v>
      </c>
      <c r="G428" t="s">
        <v>15</v>
      </c>
      <c r="H428" t="s">
        <v>34</v>
      </c>
      <c r="I428" t="s">
        <v>17</v>
      </c>
      <c r="J428" t="s">
        <v>818</v>
      </c>
      <c r="K428" t="s">
        <v>30</v>
      </c>
    </row>
    <row r="429" spans="1:11" x14ac:dyDescent="0.25">
      <c r="A429" t="s">
        <v>819</v>
      </c>
      <c r="B429" s="2">
        <v>45928</v>
      </c>
      <c r="C429" t="s">
        <v>25</v>
      </c>
      <c r="D429" t="s">
        <v>37</v>
      </c>
      <c r="E429" t="s">
        <v>22</v>
      </c>
      <c r="F429">
        <v>192580.12</v>
      </c>
      <c r="G429" t="s">
        <v>28</v>
      </c>
      <c r="H429" t="s">
        <v>16</v>
      </c>
      <c r="I429" t="s">
        <v>17</v>
      </c>
      <c r="J429" t="s">
        <v>820</v>
      </c>
      <c r="K429" t="s">
        <v>18</v>
      </c>
    </row>
    <row r="430" spans="1:11" x14ac:dyDescent="0.25">
      <c r="A430" t="s">
        <v>40</v>
      </c>
      <c r="B430" s="2">
        <v>45296</v>
      </c>
      <c r="C430" t="s">
        <v>20</v>
      </c>
      <c r="D430" t="s">
        <v>64</v>
      </c>
      <c r="E430" t="s">
        <v>41</v>
      </c>
      <c r="F430">
        <v>147560.21</v>
      </c>
      <c r="G430" t="s">
        <v>38</v>
      </c>
      <c r="H430" t="s">
        <v>16</v>
      </c>
      <c r="I430" t="s">
        <v>17</v>
      </c>
      <c r="J430" t="s">
        <v>821</v>
      </c>
      <c r="K430" t="s">
        <v>18</v>
      </c>
    </row>
    <row r="431" spans="1:11" x14ac:dyDescent="0.25">
      <c r="A431" t="s">
        <v>822</v>
      </c>
      <c r="B431" s="2">
        <v>45565</v>
      </c>
      <c r="C431" t="s">
        <v>20</v>
      </c>
      <c r="D431" t="s">
        <v>60</v>
      </c>
      <c r="E431" t="s">
        <v>41</v>
      </c>
      <c r="F431">
        <v>50094</v>
      </c>
      <c r="G431" t="s">
        <v>15</v>
      </c>
      <c r="H431" t="s">
        <v>16</v>
      </c>
      <c r="I431" t="s">
        <v>17</v>
      </c>
      <c r="J431" t="s">
        <v>823</v>
      </c>
      <c r="K431" t="s">
        <v>30</v>
      </c>
    </row>
    <row r="432" spans="1:11" x14ac:dyDescent="0.25">
      <c r="A432" t="s">
        <v>824</v>
      </c>
      <c r="B432" s="2">
        <v>45657</v>
      </c>
      <c r="C432" t="s">
        <v>12</v>
      </c>
      <c r="D432" t="s">
        <v>64</v>
      </c>
      <c r="E432" t="s">
        <v>41</v>
      </c>
      <c r="F432">
        <v>13887.02</v>
      </c>
      <c r="G432" t="s">
        <v>38</v>
      </c>
      <c r="H432" t="s">
        <v>34</v>
      </c>
      <c r="I432" t="s">
        <v>17</v>
      </c>
      <c r="J432" t="s">
        <v>825</v>
      </c>
      <c r="K432" t="s">
        <v>18</v>
      </c>
    </row>
    <row r="433" spans="1:11" x14ac:dyDescent="0.25">
      <c r="A433" t="s">
        <v>826</v>
      </c>
      <c r="B433" s="2">
        <v>45628</v>
      </c>
      <c r="C433" t="s">
        <v>12</v>
      </c>
      <c r="D433" t="s">
        <v>37</v>
      </c>
      <c r="E433" t="s">
        <v>22</v>
      </c>
      <c r="F433">
        <v>311243.93</v>
      </c>
      <c r="G433" t="s">
        <v>15</v>
      </c>
      <c r="H433" t="s">
        <v>16</v>
      </c>
      <c r="I433" t="s">
        <v>17</v>
      </c>
      <c r="K433" t="s">
        <v>18</v>
      </c>
    </row>
    <row r="434" spans="1:11" x14ac:dyDescent="0.25">
      <c r="A434" t="s">
        <v>40</v>
      </c>
      <c r="B434" s="2">
        <v>45274</v>
      </c>
      <c r="C434" t="s">
        <v>20</v>
      </c>
      <c r="D434" t="s">
        <v>21</v>
      </c>
      <c r="E434" t="s">
        <v>22</v>
      </c>
      <c r="F434">
        <v>310041.08</v>
      </c>
      <c r="G434" t="s">
        <v>28</v>
      </c>
      <c r="H434" t="s">
        <v>16</v>
      </c>
      <c r="I434" t="s">
        <v>17</v>
      </c>
      <c r="J434" t="s">
        <v>827</v>
      </c>
      <c r="K434" t="s">
        <v>18</v>
      </c>
    </row>
    <row r="435" spans="1:11" x14ac:dyDescent="0.25">
      <c r="A435" t="s">
        <v>828</v>
      </c>
      <c r="B435" s="2">
        <v>45591</v>
      </c>
      <c r="C435" t="s">
        <v>20</v>
      </c>
      <c r="D435" t="s">
        <v>13</v>
      </c>
      <c r="E435" t="s">
        <v>22</v>
      </c>
      <c r="F435">
        <v>30283.33</v>
      </c>
      <c r="G435" t="s">
        <v>15</v>
      </c>
      <c r="H435" t="s">
        <v>16</v>
      </c>
      <c r="I435" t="s">
        <v>17</v>
      </c>
      <c r="J435" t="s">
        <v>829</v>
      </c>
      <c r="K435" t="s">
        <v>18</v>
      </c>
    </row>
    <row r="436" spans="1:11" x14ac:dyDescent="0.25">
      <c r="A436" t="s">
        <v>830</v>
      </c>
      <c r="B436" s="2">
        <v>45512</v>
      </c>
      <c r="C436" t="s">
        <v>25</v>
      </c>
      <c r="D436" t="s">
        <v>13</v>
      </c>
      <c r="E436" t="s">
        <v>27</v>
      </c>
      <c r="F436">
        <v>192597.65</v>
      </c>
      <c r="G436" t="s">
        <v>28</v>
      </c>
      <c r="H436" t="s">
        <v>16</v>
      </c>
      <c r="I436" t="s">
        <v>17</v>
      </c>
      <c r="J436" t="s">
        <v>831</v>
      </c>
      <c r="K436" t="s">
        <v>18</v>
      </c>
    </row>
    <row r="437" spans="1:11" x14ac:dyDescent="0.25">
      <c r="A437" t="s">
        <v>832</v>
      </c>
      <c r="B437" s="2">
        <v>45543</v>
      </c>
      <c r="C437" t="s">
        <v>12</v>
      </c>
      <c r="D437" t="s">
        <v>13</v>
      </c>
      <c r="E437" t="s">
        <v>14</v>
      </c>
      <c r="F437">
        <v>117921.78</v>
      </c>
      <c r="G437" t="s">
        <v>15</v>
      </c>
      <c r="H437" t="s">
        <v>16</v>
      </c>
      <c r="I437" t="s">
        <v>17</v>
      </c>
      <c r="J437" t="s">
        <v>833</v>
      </c>
      <c r="K437" t="s">
        <v>30</v>
      </c>
    </row>
    <row r="438" spans="1:11" x14ac:dyDescent="0.25">
      <c r="A438" t="s">
        <v>834</v>
      </c>
      <c r="B438" s="2">
        <v>44996</v>
      </c>
      <c r="C438" t="s">
        <v>59</v>
      </c>
      <c r="D438" t="s">
        <v>37</v>
      </c>
      <c r="E438" t="s">
        <v>22</v>
      </c>
      <c r="F438">
        <v>16864.03</v>
      </c>
      <c r="G438" t="s">
        <v>38</v>
      </c>
      <c r="H438" t="s">
        <v>16</v>
      </c>
      <c r="I438" t="s">
        <v>17</v>
      </c>
      <c r="J438" t="s">
        <v>835</v>
      </c>
      <c r="K438" t="s">
        <v>18</v>
      </c>
    </row>
    <row r="439" spans="1:11" x14ac:dyDescent="0.25">
      <c r="A439" t="s">
        <v>836</v>
      </c>
      <c r="B439" s="2">
        <v>45412</v>
      </c>
      <c r="C439" t="s">
        <v>73</v>
      </c>
      <c r="D439" t="s">
        <v>13</v>
      </c>
      <c r="E439" t="s">
        <v>41</v>
      </c>
      <c r="F439">
        <v>107376</v>
      </c>
      <c r="G439" t="s">
        <v>38</v>
      </c>
      <c r="H439" t="s">
        <v>16</v>
      </c>
      <c r="I439" t="s">
        <v>17</v>
      </c>
      <c r="J439" t="s">
        <v>837</v>
      </c>
      <c r="K439" t="s">
        <v>18</v>
      </c>
    </row>
    <row r="440" spans="1:11" x14ac:dyDescent="0.25">
      <c r="A440" t="s">
        <v>838</v>
      </c>
      <c r="B440" s="2">
        <v>45703</v>
      </c>
      <c r="C440" t="s">
        <v>12</v>
      </c>
      <c r="D440" t="s">
        <v>37</v>
      </c>
      <c r="E440" t="s">
        <v>41</v>
      </c>
      <c r="F440">
        <v>189515.49</v>
      </c>
      <c r="G440" t="s">
        <v>15</v>
      </c>
      <c r="H440" t="s">
        <v>16</v>
      </c>
      <c r="I440" t="s">
        <v>17</v>
      </c>
      <c r="J440" t="s">
        <v>839</v>
      </c>
      <c r="K440" t="s">
        <v>18</v>
      </c>
    </row>
    <row r="441" spans="1:11" x14ac:dyDescent="0.25">
      <c r="A441" t="s">
        <v>840</v>
      </c>
      <c r="B441" s="2">
        <v>45199</v>
      </c>
      <c r="C441" t="s">
        <v>25</v>
      </c>
      <c r="D441" t="s">
        <v>60</v>
      </c>
      <c r="E441" t="s">
        <v>14</v>
      </c>
      <c r="F441">
        <v>159778.84</v>
      </c>
      <c r="G441" t="s">
        <v>38</v>
      </c>
      <c r="H441" t="s">
        <v>16</v>
      </c>
      <c r="I441" t="s">
        <v>17</v>
      </c>
      <c r="J441" t="s">
        <v>841</v>
      </c>
      <c r="K441" t="s">
        <v>18</v>
      </c>
    </row>
    <row r="442" spans="1:11" x14ac:dyDescent="0.25">
      <c r="A442" t="s">
        <v>842</v>
      </c>
      <c r="B442" s="2">
        <v>45648</v>
      </c>
      <c r="C442" t="s">
        <v>25</v>
      </c>
      <c r="D442" t="s">
        <v>37</v>
      </c>
      <c r="E442" t="s">
        <v>14</v>
      </c>
      <c r="F442">
        <v>211378.13</v>
      </c>
      <c r="G442" t="s">
        <v>38</v>
      </c>
      <c r="H442" t="s">
        <v>34</v>
      </c>
      <c r="I442" t="s">
        <v>17</v>
      </c>
      <c r="J442" t="s">
        <v>843</v>
      </c>
      <c r="K442" t="s">
        <v>18</v>
      </c>
    </row>
    <row r="443" spans="1:11" x14ac:dyDescent="0.25">
      <c r="A443" t="s">
        <v>844</v>
      </c>
      <c r="B443" s="2">
        <v>45170</v>
      </c>
      <c r="C443" t="s">
        <v>25</v>
      </c>
      <c r="D443" t="s">
        <v>60</v>
      </c>
      <c r="E443" t="s">
        <v>41</v>
      </c>
      <c r="F443">
        <v>197005.72</v>
      </c>
      <c r="G443" t="s">
        <v>15</v>
      </c>
      <c r="H443" t="s">
        <v>16</v>
      </c>
      <c r="I443" t="s">
        <v>17</v>
      </c>
      <c r="J443" t="s">
        <v>845</v>
      </c>
      <c r="K443" t="s">
        <v>18</v>
      </c>
    </row>
    <row r="444" spans="1:11" x14ac:dyDescent="0.25">
      <c r="A444" t="s">
        <v>846</v>
      </c>
      <c r="B444" s="2">
        <v>44985</v>
      </c>
      <c r="C444" t="s">
        <v>73</v>
      </c>
      <c r="D444" t="s">
        <v>37</v>
      </c>
      <c r="E444" t="s">
        <v>27</v>
      </c>
      <c r="F444">
        <v>32923.199999999997</v>
      </c>
      <c r="G444" t="s">
        <v>28</v>
      </c>
      <c r="H444" t="s">
        <v>16</v>
      </c>
      <c r="I444" t="s">
        <v>17</v>
      </c>
      <c r="J444" t="s">
        <v>847</v>
      </c>
      <c r="K444" t="s">
        <v>18</v>
      </c>
    </row>
    <row r="445" spans="1:11" x14ac:dyDescent="0.25">
      <c r="A445" t="s">
        <v>848</v>
      </c>
      <c r="B445" s="2">
        <v>45345</v>
      </c>
      <c r="C445" t="s">
        <v>12</v>
      </c>
      <c r="D445" t="s">
        <v>21</v>
      </c>
      <c r="E445" t="s">
        <v>22</v>
      </c>
      <c r="F445">
        <v>223365.63</v>
      </c>
      <c r="G445" t="s">
        <v>15</v>
      </c>
      <c r="H445" t="s">
        <v>16</v>
      </c>
      <c r="I445" t="s">
        <v>17</v>
      </c>
      <c r="J445" t="s">
        <v>849</v>
      </c>
      <c r="K445" t="s">
        <v>30</v>
      </c>
    </row>
    <row r="446" spans="1:11" x14ac:dyDescent="0.25">
      <c r="A446" t="s">
        <v>850</v>
      </c>
      <c r="B446" s="2">
        <v>45198</v>
      </c>
      <c r="C446" t="s">
        <v>25</v>
      </c>
      <c r="D446" t="s">
        <v>46</v>
      </c>
      <c r="E446" t="s">
        <v>14</v>
      </c>
      <c r="F446">
        <v>58731.48</v>
      </c>
      <c r="G446" t="s">
        <v>15</v>
      </c>
      <c r="H446" t="s">
        <v>16</v>
      </c>
      <c r="I446" t="s">
        <v>17</v>
      </c>
      <c r="J446" t="s">
        <v>851</v>
      </c>
      <c r="K446" t="s">
        <v>18</v>
      </c>
    </row>
    <row r="447" spans="1:11" x14ac:dyDescent="0.25">
      <c r="A447" t="s">
        <v>852</v>
      </c>
      <c r="B447" s="2">
        <v>45846</v>
      </c>
      <c r="C447" t="s">
        <v>73</v>
      </c>
      <c r="D447" t="s">
        <v>60</v>
      </c>
      <c r="E447" t="s">
        <v>22</v>
      </c>
      <c r="F447">
        <v>27790.5</v>
      </c>
      <c r="G447" t="s">
        <v>28</v>
      </c>
      <c r="H447" t="s">
        <v>16</v>
      </c>
      <c r="I447" t="s">
        <v>17</v>
      </c>
      <c r="J447" t="s">
        <v>853</v>
      </c>
      <c r="K447" t="s">
        <v>18</v>
      </c>
    </row>
    <row r="448" spans="1:11" x14ac:dyDescent="0.25">
      <c r="A448" t="s">
        <v>854</v>
      </c>
      <c r="B448" s="2">
        <v>45743</v>
      </c>
      <c r="C448" t="s">
        <v>20</v>
      </c>
      <c r="D448" t="s">
        <v>60</v>
      </c>
      <c r="E448" t="s">
        <v>41</v>
      </c>
      <c r="F448">
        <v>218454.49</v>
      </c>
      <c r="G448" t="s">
        <v>28</v>
      </c>
      <c r="H448" t="s">
        <v>16</v>
      </c>
      <c r="I448" t="s">
        <v>17</v>
      </c>
      <c r="J448" t="s">
        <v>855</v>
      </c>
      <c r="K448" t="s">
        <v>30</v>
      </c>
    </row>
    <row r="449" spans="1:11" x14ac:dyDescent="0.25">
      <c r="A449" t="s">
        <v>856</v>
      </c>
      <c r="B449" s="2">
        <v>45869</v>
      </c>
      <c r="C449" t="s">
        <v>25</v>
      </c>
      <c r="D449" t="s">
        <v>21</v>
      </c>
      <c r="E449" t="s">
        <v>41</v>
      </c>
      <c r="F449">
        <v>114372.16</v>
      </c>
      <c r="G449" t="s">
        <v>38</v>
      </c>
      <c r="H449" t="s">
        <v>16</v>
      </c>
      <c r="I449" t="s">
        <v>17</v>
      </c>
      <c r="J449" t="s">
        <v>857</v>
      </c>
      <c r="K449" t="s">
        <v>30</v>
      </c>
    </row>
    <row r="450" spans="1:11" x14ac:dyDescent="0.25">
      <c r="A450" t="s">
        <v>858</v>
      </c>
      <c r="B450" s="2">
        <v>45564</v>
      </c>
      <c r="C450" t="s">
        <v>20</v>
      </c>
      <c r="D450" t="s">
        <v>46</v>
      </c>
      <c r="E450" t="s">
        <v>44</v>
      </c>
      <c r="F450">
        <v>243620</v>
      </c>
      <c r="G450" t="s">
        <v>28</v>
      </c>
      <c r="H450" t="s">
        <v>16</v>
      </c>
      <c r="I450" t="s">
        <v>17</v>
      </c>
      <c r="J450" t="s">
        <v>859</v>
      </c>
      <c r="K450" t="s">
        <v>18</v>
      </c>
    </row>
    <row r="451" spans="1:11" x14ac:dyDescent="0.25">
      <c r="A451" t="s">
        <v>860</v>
      </c>
      <c r="B451" s="2">
        <v>45675</v>
      </c>
      <c r="C451" t="s">
        <v>12</v>
      </c>
      <c r="D451" t="s">
        <v>60</v>
      </c>
      <c r="E451" t="s">
        <v>14</v>
      </c>
      <c r="F451">
        <v>233892</v>
      </c>
      <c r="G451" t="s">
        <v>28</v>
      </c>
      <c r="H451" t="s">
        <v>16</v>
      </c>
      <c r="I451" t="s">
        <v>17</v>
      </c>
      <c r="J451" t="s">
        <v>861</v>
      </c>
      <c r="K451" t="s">
        <v>18</v>
      </c>
    </row>
    <row r="452" spans="1:11" x14ac:dyDescent="0.25">
      <c r="A452" t="s">
        <v>862</v>
      </c>
      <c r="B452" s="2">
        <v>45903</v>
      </c>
      <c r="C452" t="s">
        <v>20</v>
      </c>
      <c r="D452" t="s">
        <v>21</v>
      </c>
      <c r="E452" t="s">
        <v>44</v>
      </c>
      <c r="F452">
        <v>26845.87</v>
      </c>
      <c r="G452" t="s">
        <v>28</v>
      </c>
      <c r="H452" t="s">
        <v>34</v>
      </c>
      <c r="I452" t="s">
        <v>17</v>
      </c>
      <c r="J452" t="s">
        <v>863</v>
      </c>
      <c r="K452" t="s">
        <v>18</v>
      </c>
    </row>
    <row r="453" spans="1:11" x14ac:dyDescent="0.25">
      <c r="A453" t="s">
        <v>864</v>
      </c>
      <c r="B453" s="2">
        <v>45895</v>
      </c>
      <c r="C453" t="s">
        <v>25</v>
      </c>
      <c r="D453" t="s">
        <v>13</v>
      </c>
      <c r="E453" t="s">
        <v>27</v>
      </c>
      <c r="F453">
        <v>231766.26</v>
      </c>
      <c r="G453" t="s">
        <v>28</v>
      </c>
      <c r="H453" t="s">
        <v>16</v>
      </c>
      <c r="I453" t="s">
        <v>17</v>
      </c>
      <c r="J453" t="s">
        <v>865</v>
      </c>
      <c r="K453" t="s">
        <v>18</v>
      </c>
    </row>
    <row r="454" spans="1:11" x14ac:dyDescent="0.25">
      <c r="A454" t="s">
        <v>866</v>
      </c>
      <c r="B454" s="2">
        <v>45844</v>
      </c>
      <c r="C454" t="s">
        <v>25</v>
      </c>
      <c r="D454" t="s">
        <v>46</v>
      </c>
      <c r="E454" t="s">
        <v>44</v>
      </c>
      <c r="F454">
        <v>76187.08</v>
      </c>
      <c r="G454" t="s">
        <v>28</v>
      </c>
      <c r="H454" t="s">
        <v>16</v>
      </c>
      <c r="I454" t="s">
        <v>17</v>
      </c>
      <c r="J454" t="s">
        <v>867</v>
      </c>
      <c r="K454" t="s">
        <v>30</v>
      </c>
    </row>
    <row r="455" spans="1:11" x14ac:dyDescent="0.25">
      <c r="A455" t="s">
        <v>868</v>
      </c>
      <c r="B455" s="2">
        <v>45707</v>
      </c>
      <c r="C455" t="s">
        <v>73</v>
      </c>
      <c r="D455" t="s">
        <v>21</v>
      </c>
      <c r="E455" t="s">
        <v>41</v>
      </c>
      <c r="F455">
        <v>54357.25</v>
      </c>
      <c r="G455" t="s">
        <v>28</v>
      </c>
      <c r="H455" t="s">
        <v>16</v>
      </c>
      <c r="I455" t="s">
        <v>17</v>
      </c>
      <c r="J455" t="s">
        <v>869</v>
      </c>
      <c r="K455" t="s">
        <v>18</v>
      </c>
    </row>
    <row r="456" spans="1:11" x14ac:dyDescent="0.25">
      <c r="A456" t="s">
        <v>870</v>
      </c>
      <c r="B456" s="2">
        <v>45845</v>
      </c>
      <c r="C456" t="s">
        <v>20</v>
      </c>
      <c r="D456" t="s">
        <v>26</v>
      </c>
      <c r="E456" t="s">
        <v>27</v>
      </c>
      <c r="F456">
        <v>24819.59</v>
      </c>
      <c r="G456" t="s">
        <v>15</v>
      </c>
      <c r="H456" t="s">
        <v>16</v>
      </c>
      <c r="I456" t="s">
        <v>17</v>
      </c>
      <c r="J456" t="s">
        <v>871</v>
      </c>
      <c r="K456" t="s">
        <v>18</v>
      </c>
    </row>
    <row r="457" spans="1:11" x14ac:dyDescent="0.25">
      <c r="A457" t="s">
        <v>872</v>
      </c>
      <c r="B457" s="2">
        <v>45531</v>
      </c>
      <c r="C457" t="s">
        <v>12</v>
      </c>
      <c r="D457" t="s">
        <v>26</v>
      </c>
      <c r="E457" t="s">
        <v>14</v>
      </c>
      <c r="F457">
        <v>230754.29</v>
      </c>
      <c r="G457" t="s">
        <v>38</v>
      </c>
      <c r="H457" t="s">
        <v>16</v>
      </c>
      <c r="I457" t="s">
        <v>17</v>
      </c>
      <c r="J457" t="s">
        <v>873</v>
      </c>
      <c r="K457" t="s">
        <v>18</v>
      </c>
    </row>
    <row r="458" spans="1:11" x14ac:dyDescent="0.25">
      <c r="A458" t="s">
        <v>874</v>
      </c>
      <c r="B458" s="2">
        <v>45134</v>
      </c>
      <c r="C458" t="s">
        <v>20</v>
      </c>
      <c r="D458" t="s">
        <v>60</v>
      </c>
      <c r="E458" t="s">
        <v>27</v>
      </c>
      <c r="F458">
        <v>58343.92</v>
      </c>
      <c r="G458" t="s">
        <v>38</v>
      </c>
      <c r="H458" t="s">
        <v>16</v>
      </c>
      <c r="I458" t="s">
        <v>17</v>
      </c>
      <c r="K458" t="s">
        <v>18</v>
      </c>
    </row>
    <row r="459" spans="1:11" x14ac:dyDescent="0.25">
      <c r="A459" t="s">
        <v>875</v>
      </c>
      <c r="B459" s="2">
        <v>45764</v>
      </c>
      <c r="C459" t="s">
        <v>20</v>
      </c>
      <c r="D459" t="s">
        <v>13</v>
      </c>
      <c r="E459" t="s">
        <v>41</v>
      </c>
      <c r="F459">
        <v>283126.14</v>
      </c>
      <c r="G459" t="s">
        <v>15</v>
      </c>
      <c r="H459" t="s">
        <v>16</v>
      </c>
      <c r="I459" t="s">
        <v>17</v>
      </c>
      <c r="J459" t="s">
        <v>876</v>
      </c>
      <c r="K459" t="s">
        <v>30</v>
      </c>
    </row>
    <row r="460" spans="1:11" x14ac:dyDescent="0.25">
      <c r="A460" t="s">
        <v>877</v>
      </c>
      <c r="B460" s="2">
        <v>45351</v>
      </c>
      <c r="C460" t="s">
        <v>25</v>
      </c>
      <c r="D460" t="s">
        <v>13</v>
      </c>
      <c r="E460" t="s">
        <v>14</v>
      </c>
      <c r="F460">
        <v>164587</v>
      </c>
      <c r="G460" t="s">
        <v>38</v>
      </c>
      <c r="H460" t="s">
        <v>16</v>
      </c>
      <c r="I460" t="s">
        <v>17</v>
      </c>
      <c r="J460" t="s">
        <v>833</v>
      </c>
      <c r="K460" t="s">
        <v>18</v>
      </c>
    </row>
    <row r="461" spans="1:11" x14ac:dyDescent="0.25">
      <c r="A461" t="s">
        <v>878</v>
      </c>
      <c r="B461" s="2">
        <v>45399</v>
      </c>
      <c r="C461" t="s">
        <v>25</v>
      </c>
      <c r="D461" t="s">
        <v>46</v>
      </c>
      <c r="E461" t="s">
        <v>41</v>
      </c>
      <c r="F461">
        <v>162794.54</v>
      </c>
      <c r="G461" t="s">
        <v>38</v>
      </c>
      <c r="H461" t="s">
        <v>16</v>
      </c>
      <c r="I461" t="s">
        <v>17</v>
      </c>
      <c r="J461" t="s">
        <v>879</v>
      </c>
      <c r="K461" t="s">
        <v>18</v>
      </c>
    </row>
    <row r="462" spans="1:11" x14ac:dyDescent="0.25">
      <c r="A462" t="s">
        <v>880</v>
      </c>
      <c r="B462" s="2">
        <v>45226</v>
      </c>
      <c r="C462" t="s">
        <v>59</v>
      </c>
      <c r="D462" t="s">
        <v>37</v>
      </c>
      <c r="E462" t="s">
        <v>22</v>
      </c>
      <c r="F462">
        <v>204667.69</v>
      </c>
      <c r="G462" t="s">
        <v>38</v>
      </c>
      <c r="H462" t="s">
        <v>16</v>
      </c>
      <c r="I462" t="s">
        <v>17</v>
      </c>
      <c r="J462" t="s">
        <v>881</v>
      </c>
      <c r="K462" t="s">
        <v>18</v>
      </c>
    </row>
    <row r="463" spans="1:11" x14ac:dyDescent="0.25">
      <c r="A463" t="s">
        <v>882</v>
      </c>
      <c r="B463" s="2">
        <v>45465</v>
      </c>
      <c r="C463" t="s">
        <v>20</v>
      </c>
      <c r="D463" t="s">
        <v>21</v>
      </c>
      <c r="E463" t="s">
        <v>27</v>
      </c>
      <c r="F463">
        <v>32764.13</v>
      </c>
      <c r="G463" t="s">
        <v>15</v>
      </c>
      <c r="H463" t="s">
        <v>16</v>
      </c>
      <c r="I463" t="s">
        <v>17</v>
      </c>
      <c r="J463" t="s">
        <v>883</v>
      </c>
      <c r="K463" t="s">
        <v>18</v>
      </c>
    </row>
    <row r="464" spans="1:11" x14ac:dyDescent="0.25">
      <c r="A464" t="s">
        <v>884</v>
      </c>
      <c r="B464" s="2">
        <v>45042</v>
      </c>
      <c r="C464" t="s">
        <v>12</v>
      </c>
      <c r="D464" t="s">
        <v>21</v>
      </c>
      <c r="E464" t="s">
        <v>44</v>
      </c>
      <c r="F464">
        <v>8894.42</v>
      </c>
      <c r="G464" t="s">
        <v>28</v>
      </c>
      <c r="H464" t="s">
        <v>16</v>
      </c>
      <c r="I464" t="s">
        <v>17</v>
      </c>
      <c r="J464" t="s">
        <v>885</v>
      </c>
      <c r="K464" t="s">
        <v>18</v>
      </c>
    </row>
    <row r="465" spans="1:11" x14ac:dyDescent="0.25">
      <c r="A465" t="s">
        <v>886</v>
      </c>
      <c r="B465" s="2">
        <v>45525</v>
      </c>
      <c r="C465" t="s">
        <v>25</v>
      </c>
      <c r="D465" t="s">
        <v>37</v>
      </c>
      <c r="E465" t="s">
        <v>27</v>
      </c>
      <c r="F465">
        <v>137842.51999999999</v>
      </c>
      <c r="G465" t="s">
        <v>38</v>
      </c>
      <c r="H465" t="s">
        <v>16</v>
      </c>
      <c r="I465" t="s">
        <v>17</v>
      </c>
      <c r="J465" t="s">
        <v>887</v>
      </c>
      <c r="K465" t="s">
        <v>18</v>
      </c>
    </row>
    <row r="466" spans="1:11" x14ac:dyDescent="0.25">
      <c r="A466" t="s">
        <v>888</v>
      </c>
      <c r="B466" s="2">
        <v>45551</v>
      </c>
      <c r="C466" t="s">
        <v>73</v>
      </c>
      <c r="D466" t="s">
        <v>13</v>
      </c>
      <c r="E466" t="s">
        <v>140</v>
      </c>
      <c r="F466">
        <v>24878.75</v>
      </c>
      <c r="G466" t="s">
        <v>38</v>
      </c>
      <c r="H466" t="s">
        <v>16</v>
      </c>
      <c r="I466" t="s">
        <v>17</v>
      </c>
      <c r="J466" t="s">
        <v>889</v>
      </c>
      <c r="K466" t="s">
        <v>18</v>
      </c>
    </row>
    <row r="467" spans="1:11" x14ac:dyDescent="0.25">
      <c r="A467" t="s">
        <v>890</v>
      </c>
      <c r="B467" s="2">
        <v>45787</v>
      </c>
      <c r="C467" t="s">
        <v>25</v>
      </c>
      <c r="D467" t="s">
        <v>26</v>
      </c>
      <c r="E467" t="s">
        <v>44</v>
      </c>
      <c r="F467">
        <v>55973.94</v>
      </c>
      <c r="G467" t="s">
        <v>38</v>
      </c>
      <c r="H467" t="s">
        <v>16</v>
      </c>
      <c r="I467" t="s">
        <v>17</v>
      </c>
      <c r="J467" t="s">
        <v>71</v>
      </c>
      <c r="K467" t="s">
        <v>18</v>
      </c>
    </row>
    <row r="468" spans="1:11" x14ac:dyDescent="0.25">
      <c r="A468" t="s">
        <v>891</v>
      </c>
      <c r="B468" s="2">
        <v>45635</v>
      </c>
      <c r="C468" t="s">
        <v>12</v>
      </c>
      <c r="D468" t="s">
        <v>60</v>
      </c>
      <c r="E468" t="s">
        <v>41</v>
      </c>
      <c r="F468">
        <v>84261.6</v>
      </c>
      <c r="G468" t="s">
        <v>38</v>
      </c>
      <c r="H468" t="s">
        <v>16</v>
      </c>
      <c r="I468" t="s">
        <v>17</v>
      </c>
      <c r="J468" t="s">
        <v>892</v>
      </c>
      <c r="K468" t="s">
        <v>18</v>
      </c>
    </row>
    <row r="469" spans="1:11" x14ac:dyDescent="0.25">
      <c r="A469" t="s">
        <v>893</v>
      </c>
      <c r="B469" s="2">
        <v>45626</v>
      </c>
      <c r="C469" t="s">
        <v>12</v>
      </c>
      <c r="D469" t="s">
        <v>46</v>
      </c>
      <c r="E469" t="s">
        <v>44</v>
      </c>
      <c r="F469">
        <v>84014.43</v>
      </c>
      <c r="G469" t="s">
        <v>28</v>
      </c>
      <c r="H469" t="s">
        <v>16</v>
      </c>
      <c r="I469" t="s">
        <v>17</v>
      </c>
      <c r="J469" t="s">
        <v>894</v>
      </c>
      <c r="K469" t="s">
        <v>18</v>
      </c>
    </row>
    <row r="470" spans="1:11" x14ac:dyDescent="0.25">
      <c r="A470" t="s">
        <v>895</v>
      </c>
      <c r="B470" s="2">
        <v>45274</v>
      </c>
      <c r="C470" t="s">
        <v>25</v>
      </c>
      <c r="D470" t="s">
        <v>21</v>
      </c>
      <c r="E470" t="s">
        <v>27</v>
      </c>
      <c r="F470">
        <v>25334.17</v>
      </c>
      <c r="G470" t="s">
        <v>28</v>
      </c>
      <c r="H470" t="s">
        <v>16</v>
      </c>
      <c r="I470" t="s">
        <v>17</v>
      </c>
      <c r="K470" t="s">
        <v>18</v>
      </c>
    </row>
    <row r="471" spans="1:11" x14ac:dyDescent="0.25">
      <c r="A471" t="s">
        <v>896</v>
      </c>
      <c r="B471" s="2">
        <v>45116</v>
      </c>
      <c r="C471" t="s">
        <v>25</v>
      </c>
      <c r="D471" t="s">
        <v>26</v>
      </c>
      <c r="E471" t="s">
        <v>53</v>
      </c>
      <c r="F471">
        <v>67326.740000000005</v>
      </c>
      <c r="G471" t="s">
        <v>28</v>
      </c>
      <c r="H471" t="s">
        <v>16</v>
      </c>
      <c r="I471" t="s">
        <v>17</v>
      </c>
      <c r="K471" t="s">
        <v>30</v>
      </c>
    </row>
    <row r="472" spans="1:11" x14ac:dyDescent="0.25">
      <c r="A472" t="s">
        <v>897</v>
      </c>
      <c r="B472" s="2">
        <v>44972</v>
      </c>
      <c r="C472" t="s">
        <v>73</v>
      </c>
      <c r="D472" t="s">
        <v>60</v>
      </c>
      <c r="E472" t="s">
        <v>14</v>
      </c>
      <c r="F472">
        <v>151339.89000000001</v>
      </c>
      <c r="G472" t="s">
        <v>28</v>
      </c>
      <c r="H472" t="s">
        <v>16</v>
      </c>
      <c r="I472" t="s">
        <v>17</v>
      </c>
      <c r="K472" t="s">
        <v>18</v>
      </c>
    </row>
    <row r="473" spans="1:11" x14ac:dyDescent="0.25">
      <c r="A473" t="s">
        <v>898</v>
      </c>
      <c r="B473" s="2">
        <v>45810</v>
      </c>
      <c r="C473" t="s">
        <v>25</v>
      </c>
      <c r="D473" t="s">
        <v>21</v>
      </c>
      <c r="E473" t="s">
        <v>41</v>
      </c>
      <c r="F473">
        <v>62416.91</v>
      </c>
      <c r="G473" t="s">
        <v>38</v>
      </c>
      <c r="H473" t="s">
        <v>16</v>
      </c>
      <c r="I473" t="s">
        <v>17</v>
      </c>
      <c r="J473" t="s">
        <v>899</v>
      </c>
      <c r="K473" t="s">
        <v>18</v>
      </c>
    </row>
    <row r="474" spans="1:11" x14ac:dyDescent="0.25">
      <c r="A474" t="s">
        <v>900</v>
      </c>
      <c r="B474" s="2">
        <v>45976</v>
      </c>
      <c r="C474" t="s">
        <v>20</v>
      </c>
      <c r="D474" t="s">
        <v>21</v>
      </c>
      <c r="E474" t="s">
        <v>22</v>
      </c>
      <c r="F474">
        <v>52320.1</v>
      </c>
      <c r="G474" t="s">
        <v>15</v>
      </c>
      <c r="H474" t="s">
        <v>16</v>
      </c>
      <c r="I474" t="s">
        <v>17</v>
      </c>
      <c r="J474" t="s">
        <v>901</v>
      </c>
      <c r="K474" t="s">
        <v>18</v>
      </c>
    </row>
    <row r="475" spans="1:11" x14ac:dyDescent="0.25">
      <c r="A475" t="s">
        <v>902</v>
      </c>
      <c r="B475" s="2">
        <v>45617</v>
      </c>
      <c r="C475" t="s">
        <v>20</v>
      </c>
      <c r="D475" t="s">
        <v>64</v>
      </c>
      <c r="E475" t="s">
        <v>44</v>
      </c>
      <c r="F475">
        <v>199197.85</v>
      </c>
      <c r="G475" t="s">
        <v>38</v>
      </c>
      <c r="H475" t="s">
        <v>16</v>
      </c>
      <c r="I475" t="s">
        <v>17</v>
      </c>
      <c r="J475" t="s">
        <v>903</v>
      </c>
      <c r="K475" t="s">
        <v>18</v>
      </c>
    </row>
    <row r="476" spans="1:11" x14ac:dyDescent="0.25">
      <c r="A476" t="s">
        <v>904</v>
      </c>
      <c r="B476" s="2">
        <v>45464</v>
      </c>
      <c r="C476" t="s">
        <v>73</v>
      </c>
      <c r="D476" t="s">
        <v>60</v>
      </c>
      <c r="E476" t="s">
        <v>44</v>
      </c>
      <c r="F476">
        <v>68054.38</v>
      </c>
      <c r="G476" t="s">
        <v>28</v>
      </c>
      <c r="H476" t="s">
        <v>16</v>
      </c>
      <c r="I476" t="s">
        <v>17</v>
      </c>
      <c r="J476" t="s">
        <v>95</v>
      </c>
      <c r="K476" t="s">
        <v>30</v>
      </c>
    </row>
    <row r="477" spans="1:11" x14ac:dyDescent="0.25">
      <c r="A477" t="s">
        <v>905</v>
      </c>
      <c r="B477" s="2">
        <v>45449</v>
      </c>
      <c r="C477" t="s">
        <v>25</v>
      </c>
      <c r="D477" t="s">
        <v>60</v>
      </c>
      <c r="E477" t="s">
        <v>44</v>
      </c>
      <c r="F477">
        <v>182482.98</v>
      </c>
      <c r="G477" t="s">
        <v>38</v>
      </c>
      <c r="H477" t="s">
        <v>16</v>
      </c>
      <c r="I477" t="s">
        <v>17</v>
      </c>
      <c r="J477" t="s">
        <v>906</v>
      </c>
      <c r="K477" t="s">
        <v>18</v>
      </c>
    </row>
    <row r="478" spans="1:11" x14ac:dyDescent="0.25">
      <c r="A478" t="s">
        <v>907</v>
      </c>
      <c r="B478" s="2">
        <v>45091</v>
      </c>
      <c r="C478" t="s">
        <v>73</v>
      </c>
      <c r="D478" t="s">
        <v>60</v>
      </c>
      <c r="E478" t="s">
        <v>41</v>
      </c>
      <c r="F478">
        <v>199676.73</v>
      </c>
      <c r="G478" t="s">
        <v>28</v>
      </c>
      <c r="H478" t="s">
        <v>16</v>
      </c>
      <c r="I478" t="s">
        <v>17</v>
      </c>
      <c r="J478" t="s">
        <v>908</v>
      </c>
      <c r="K478" t="s">
        <v>18</v>
      </c>
    </row>
    <row r="479" spans="1:11" x14ac:dyDescent="0.25">
      <c r="A479" t="s">
        <v>909</v>
      </c>
      <c r="B479" s="2">
        <v>45791</v>
      </c>
      <c r="C479" t="s">
        <v>25</v>
      </c>
      <c r="D479" t="s">
        <v>60</v>
      </c>
      <c r="E479" t="s">
        <v>14</v>
      </c>
      <c r="F479">
        <v>225614.34</v>
      </c>
      <c r="G479" t="s">
        <v>38</v>
      </c>
      <c r="H479" t="s">
        <v>16</v>
      </c>
      <c r="I479" t="s">
        <v>17</v>
      </c>
      <c r="J479" t="s">
        <v>910</v>
      </c>
      <c r="K479" t="s">
        <v>18</v>
      </c>
    </row>
    <row r="480" spans="1:11" x14ac:dyDescent="0.25">
      <c r="A480" t="s">
        <v>911</v>
      </c>
      <c r="B480" s="2">
        <v>45829</v>
      </c>
      <c r="C480" t="s">
        <v>12</v>
      </c>
      <c r="D480" t="s">
        <v>64</v>
      </c>
      <c r="E480" t="s">
        <v>44</v>
      </c>
      <c r="F480">
        <v>81560.789999999994</v>
      </c>
      <c r="G480" t="s">
        <v>38</v>
      </c>
      <c r="H480" t="s">
        <v>16</v>
      </c>
      <c r="I480" t="s">
        <v>17</v>
      </c>
      <c r="J480" t="s">
        <v>912</v>
      </c>
      <c r="K480" t="s">
        <v>30</v>
      </c>
    </row>
    <row r="481" spans="1:11" x14ac:dyDescent="0.25">
      <c r="A481" t="s">
        <v>913</v>
      </c>
      <c r="B481" s="2">
        <v>45009</v>
      </c>
      <c r="C481" t="s">
        <v>12</v>
      </c>
      <c r="D481" t="s">
        <v>64</v>
      </c>
      <c r="E481" t="s">
        <v>27</v>
      </c>
      <c r="F481">
        <v>153133.26999999999</v>
      </c>
      <c r="G481" t="s">
        <v>38</v>
      </c>
      <c r="H481" t="s">
        <v>16</v>
      </c>
      <c r="I481" t="s">
        <v>17</v>
      </c>
      <c r="J481" t="s">
        <v>914</v>
      </c>
      <c r="K481" t="s">
        <v>30</v>
      </c>
    </row>
    <row r="482" spans="1:11" x14ac:dyDescent="0.25">
      <c r="A482" t="s">
        <v>915</v>
      </c>
      <c r="B482" s="2">
        <v>45037</v>
      </c>
      <c r="C482" t="s">
        <v>25</v>
      </c>
      <c r="D482" t="s">
        <v>21</v>
      </c>
      <c r="E482" t="s">
        <v>14</v>
      </c>
      <c r="F482">
        <v>51382.17</v>
      </c>
      <c r="G482" t="s">
        <v>15</v>
      </c>
      <c r="H482" t="s">
        <v>16</v>
      </c>
      <c r="I482" t="s">
        <v>17</v>
      </c>
      <c r="J482" t="s">
        <v>916</v>
      </c>
      <c r="K482" t="s">
        <v>18</v>
      </c>
    </row>
    <row r="483" spans="1:11" x14ac:dyDescent="0.25">
      <c r="A483" t="s">
        <v>917</v>
      </c>
      <c r="B483" s="2">
        <v>45299</v>
      </c>
      <c r="C483" t="s">
        <v>12</v>
      </c>
      <c r="D483" t="s">
        <v>13</v>
      </c>
      <c r="E483" t="s">
        <v>14</v>
      </c>
      <c r="F483">
        <v>67614.820000000007</v>
      </c>
      <c r="G483" t="s">
        <v>15</v>
      </c>
      <c r="H483" t="s">
        <v>16</v>
      </c>
      <c r="I483" t="s">
        <v>17</v>
      </c>
      <c r="J483" t="s">
        <v>918</v>
      </c>
      <c r="K483" t="s">
        <v>18</v>
      </c>
    </row>
    <row r="484" spans="1:11" x14ac:dyDescent="0.25">
      <c r="A484" t="s">
        <v>919</v>
      </c>
      <c r="B484" s="2">
        <v>45425</v>
      </c>
      <c r="C484" t="s">
        <v>25</v>
      </c>
      <c r="D484" t="s">
        <v>64</v>
      </c>
      <c r="E484" t="s">
        <v>22</v>
      </c>
      <c r="F484">
        <v>71657.34</v>
      </c>
      <c r="G484" t="s">
        <v>15</v>
      </c>
      <c r="H484" t="s">
        <v>16</v>
      </c>
      <c r="I484" t="s">
        <v>17</v>
      </c>
      <c r="J484" t="s">
        <v>920</v>
      </c>
      <c r="K484" t="s">
        <v>18</v>
      </c>
    </row>
    <row r="485" spans="1:11" x14ac:dyDescent="0.25">
      <c r="A485" t="s">
        <v>921</v>
      </c>
      <c r="B485" s="2">
        <v>45230</v>
      </c>
      <c r="C485" t="s">
        <v>73</v>
      </c>
      <c r="D485" t="s">
        <v>21</v>
      </c>
      <c r="E485" t="s">
        <v>22</v>
      </c>
      <c r="F485">
        <v>114499.52</v>
      </c>
      <c r="G485" t="s">
        <v>38</v>
      </c>
      <c r="H485" t="s">
        <v>16</v>
      </c>
      <c r="I485" t="s">
        <v>17</v>
      </c>
      <c r="K485" t="s">
        <v>18</v>
      </c>
    </row>
    <row r="486" spans="1:11" x14ac:dyDescent="0.25">
      <c r="A486" t="s">
        <v>922</v>
      </c>
      <c r="B486" s="2">
        <v>45143</v>
      </c>
      <c r="C486" t="s">
        <v>25</v>
      </c>
      <c r="D486" t="s">
        <v>60</v>
      </c>
      <c r="E486" t="s">
        <v>27</v>
      </c>
      <c r="F486">
        <v>15461.51</v>
      </c>
      <c r="G486" t="s">
        <v>28</v>
      </c>
      <c r="H486" t="s">
        <v>16</v>
      </c>
      <c r="I486" t="s">
        <v>17</v>
      </c>
      <c r="J486" t="s">
        <v>923</v>
      </c>
      <c r="K486" t="s">
        <v>18</v>
      </c>
    </row>
    <row r="487" spans="1:11" x14ac:dyDescent="0.25">
      <c r="A487" t="s">
        <v>924</v>
      </c>
      <c r="B487" s="2">
        <v>45134</v>
      </c>
      <c r="C487" t="s">
        <v>12</v>
      </c>
      <c r="D487" t="s">
        <v>21</v>
      </c>
      <c r="E487" t="s">
        <v>140</v>
      </c>
      <c r="F487">
        <v>176479.47</v>
      </c>
      <c r="G487" t="s">
        <v>28</v>
      </c>
      <c r="H487" t="s">
        <v>16</v>
      </c>
      <c r="I487" t="s">
        <v>17</v>
      </c>
      <c r="J487" t="s">
        <v>925</v>
      </c>
      <c r="K487" t="s">
        <v>18</v>
      </c>
    </row>
    <row r="488" spans="1:11" x14ac:dyDescent="0.25">
      <c r="A488" t="s">
        <v>926</v>
      </c>
      <c r="B488" s="2">
        <v>45223</v>
      </c>
      <c r="C488" t="s">
        <v>25</v>
      </c>
      <c r="D488" t="s">
        <v>46</v>
      </c>
      <c r="E488" t="s">
        <v>22</v>
      </c>
      <c r="F488">
        <v>142538.68</v>
      </c>
      <c r="G488" t="s">
        <v>38</v>
      </c>
      <c r="H488" t="s">
        <v>16</v>
      </c>
      <c r="I488" t="s">
        <v>17</v>
      </c>
      <c r="J488" t="s">
        <v>927</v>
      </c>
      <c r="K488" t="s">
        <v>18</v>
      </c>
    </row>
    <row r="489" spans="1:11" x14ac:dyDescent="0.25">
      <c r="A489" t="s">
        <v>928</v>
      </c>
      <c r="B489" s="2">
        <v>45639</v>
      </c>
      <c r="C489" t="s">
        <v>20</v>
      </c>
      <c r="D489" t="s">
        <v>46</v>
      </c>
      <c r="E489" t="s">
        <v>27</v>
      </c>
      <c r="F489">
        <v>16045.28</v>
      </c>
      <c r="G489" t="s">
        <v>28</v>
      </c>
      <c r="H489" t="s">
        <v>16</v>
      </c>
      <c r="I489" t="s">
        <v>17</v>
      </c>
      <c r="J489" t="s">
        <v>929</v>
      </c>
      <c r="K489" t="s">
        <v>18</v>
      </c>
    </row>
    <row r="490" spans="1:11" x14ac:dyDescent="0.25">
      <c r="A490" t="s">
        <v>930</v>
      </c>
      <c r="B490" s="2">
        <v>45685</v>
      </c>
      <c r="C490" t="s">
        <v>25</v>
      </c>
      <c r="D490" t="s">
        <v>46</v>
      </c>
      <c r="E490" t="s">
        <v>44</v>
      </c>
      <c r="F490">
        <v>248438.57</v>
      </c>
      <c r="G490" t="s">
        <v>38</v>
      </c>
      <c r="H490" t="s">
        <v>16</v>
      </c>
      <c r="I490" t="s">
        <v>17</v>
      </c>
      <c r="K490" t="s">
        <v>30</v>
      </c>
    </row>
    <row r="491" spans="1:11" x14ac:dyDescent="0.25">
      <c r="A491" t="s">
        <v>931</v>
      </c>
      <c r="B491" s="2">
        <v>45086</v>
      </c>
      <c r="C491" t="s">
        <v>12</v>
      </c>
      <c r="D491" t="s">
        <v>26</v>
      </c>
      <c r="E491" t="s">
        <v>44</v>
      </c>
      <c r="F491">
        <v>17397.97</v>
      </c>
      <c r="G491" t="s">
        <v>15</v>
      </c>
      <c r="H491" t="s">
        <v>16</v>
      </c>
      <c r="I491" t="s">
        <v>17</v>
      </c>
      <c r="J491" t="s">
        <v>932</v>
      </c>
      <c r="K491" t="s">
        <v>18</v>
      </c>
    </row>
    <row r="492" spans="1:11" x14ac:dyDescent="0.25">
      <c r="A492" t="s">
        <v>933</v>
      </c>
      <c r="B492" s="2">
        <v>45641</v>
      </c>
      <c r="C492" t="s">
        <v>12</v>
      </c>
      <c r="D492" t="s">
        <v>37</v>
      </c>
      <c r="E492" t="s">
        <v>22</v>
      </c>
      <c r="F492">
        <v>46061.03</v>
      </c>
      <c r="G492" t="s">
        <v>38</v>
      </c>
      <c r="H492" t="s">
        <v>16</v>
      </c>
      <c r="I492" t="s">
        <v>17</v>
      </c>
      <c r="K492" t="s">
        <v>18</v>
      </c>
    </row>
    <row r="493" spans="1:11" x14ac:dyDescent="0.25">
      <c r="A493" t="s">
        <v>934</v>
      </c>
      <c r="B493" s="2">
        <v>45831</v>
      </c>
      <c r="C493" t="s">
        <v>73</v>
      </c>
      <c r="D493" t="s">
        <v>13</v>
      </c>
      <c r="E493" t="s">
        <v>44</v>
      </c>
      <c r="F493">
        <v>19103.75</v>
      </c>
      <c r="G493" t="s">
        <v>38</v>
      </c>
      <c r="H493" t="s">
        <v>16</v>
      </c>
      <c r="I493" t="s">
        <v>17</v>
      </c>
      <c r="J493" t="s">
        <v>935</v>
      </c>
      <c r="K493" t="s">
        <v>18</v>
      </c>
    </row>
    <row r="494" spans="1:11" x14ac:dyDescent="0.25">
      <c r="A494" t="s">
        <v>936</v>
      </c>
      <c r="B494" s="2">
        <v>45595</v>
      </c>
      <c r="C494" t="s">
        <v>25</v>
      </c>
      <c r="D494" t="s">
        <v>37</v>
      </c>
      <c r="E494" t="s">
        <v>27</v>
      </c>
      <c r="F494">
        <v>94514.19</v>
      </c>
      <c r="G494" t="s">
        <v>28</v>
      </c>
      <c r="H494" t="s">
        <v>34</v>
      </c>
      <c r="I494" t="s">
        <v>17</v>
      </c>
      <c r="J494" t="s">
        <v>937</v>
      </c>
      <c r="K494" t="s">
        <v>18</v>
      </c>
    </row>
    <row r="495" spans="1:11" x14ac:dyDescent="0.25">
      <c r="A495" t="s">
        <v>938</v>
      </c>
      <c r="B495" s="2">
        <v>44943</v>
      </c>
      <c r="C495" t="s">
        <v>12</v>
      </c>
      <c r="D495" t="s">
        <v>21</v>
      </c>
      <c r="E495" t="s">
        <v>14</v>
      </c>
      <c r="F495">
        <v>175086.68</v>
      </c>
      <c r="G495" t="s">
        <v>28</v>
      </c>
      <c r="H495" t="s">
        <v>16</v>
      </c>
      <c r="I495" t="s">
        <v>17</v>
      </c>
      <c r="J495" t="s">
        <v>939</v>
      </c>
      <c r="K495" t="s">
        <v>18</v>
      </c>
    </row>
    <row r="496" spans="1:11" x14ac:dyDescent="0.25">
      <c r="A496" t="s">
        <v>940</v>
      </c>
      <c r="B496" s="2">
        <v>44963</v>
      </c>
      <c r="C496" t="s">
        <v>25</v>
      </c>
      <c r="D496" t="s">
        <v>46</v>
      </c>
      <c r="E496" t="s">
        <v>44</v>
      </c>
      <c r="F496">
        <v>204795.77</v>
      </c>
      <c r="G496" t="s">
        <v>28</v>
      </c>
      <c r="H496" t="s">
        <v>16</v>
      </c>
      <c r="I496" t="s">
        <v>17</v>
      </c>
      <c r="J496" t="s">
        <v>941</v>
      </c>
      <c r="K496" t="s">
        <v>18</v>
      </c>
    </row>
    <row r="497" spans="1:11" x14ac:dyDescent="0.25">
      <c r="A497" t="s">
        <v>942</v>
      </c>
      <c r="B497" s="2">
        <v>45750</v>
      </c>
      <c r="C497" t="s">
        <v>12</v>
      </c>
      <c r="D497" t="s">
        <v>21</v>
      </c>
      <c r="E497" t="s">
        <v>140</v>
      </c>
      <c r="F497">
        <v>181468.33</v>
      </c>
      <c r="G497" t="s">
        <v>28</v>
      </c>
      <c r="H497" t="s">
        <v>16</v>
      </c>
      <c r="I497" t="s">
        <v>17</v>
      </c>
      <c r="J497" t="s">
        <v>943</v>
      </c>
      <c r="K497" t="s">
        <v>18</v>
      </c>
    </row>
    <row r="498" spans="1:11" x14ac:dyDescent="0.25">
      <c r="A498" t="s">
        <v>944</v>
      </c>
      <c r="B498" s="2">
        <v>45552</v>
      </c>
      <c r="C498" t="s">
        <v>20</v>
      </c>
      <c r="D498" t="s">
        <v>37</v>
      </c>
      <c r="E498" t="s">
        <v>41</v>
      </c>
      <c r="F498">
        <v>55533.3</v>
      </c>
      <c r="G498" t="s">
        <v>15</v>
      </c>
      <c r="H498" t="s">
        <v>16</v>
      </c>
      <c r="I498" t="s">
        <v>17</v>
      </c>
      <c r="K498" t="s">
        <v>18</v>
      </c>
    </row>
    <row r="499" spans="1:11" x14ac:dyDescent="0.25">
      <c r="A499" t="s">
        <v>945</v>
      </c>
      <c r="B499" s="2">
        <v>45750</v>
      </c>
      <c r="C499" t="s">
        <v>59</v>
      </c>
      <c r="D499" t="s">
        <v>64</v>
      </c>
      <c r="E499" t="s">
        <v>44</v>
      </c>
      <c r="F499">
        <v>117190.3</v>
      </c>
      <c r="G499" t="s">
        <v>28</v>
      </c>
      <c r="H499" t="s">
        <v>16</v>
      </c>
      <c r="I499" t="s">
        <v>17</v>
      </c>
      <c r="J499" t="s">
        <v>946</v>
      </c>
      <c r="K499" t="s">
        <v>18</v>
      </c>
    </row>
    <row r="500" spans="1:11" x14ac:dyDescent="0.25">
      <c r="A500" t="s">
        <v>947</v>
      </c>
      <c r="B500" s="2">
        <v>45871</v>
      </c>
      <c r="C500" t="s">
        <v>25</v>
      </c>
      <c r="D500" t="s">
        <v>21</v>
      </c>
      <c r="E500" t="s">
        <v>22</v>
      </c>
      <c r="F500">
        <v>76807.81</v>
      </c>
      <c r="G500" t="s">
        <v>15</v>
      </c>
      <c r="H500" t="s">
        <v>16</v>
      </c>
      <c r="I500" t="s">
        <v>17</v>
      </c>
      <c r="J500" t="s">
        <v>948</v>
      </c>
      <c r="K500" t="s">
        <v>30</v>
      </c>
    </row>
    <row r="501" spans="1:11" x14ac:dyDescent="0.25">
      <c r="A501" t="s">
        <v>949</v>
      </c>
      <c r="B501" s="2">
        <v>45977</v>
      </c>
      <c r="C501" t="s">
        <v>20</v>
      </c>
      <c r="D501" t="s">
        <v>46</v>
      </c>
      <c r="E501" t="s">
        <v>41</v>
      </c>
      <c r="F501">
        <v>103783.31</v>
      </c>
      <c r="G501" t="s">
        <v>38</v>
      </c>
      <c r="H501" t="s">
        <v>16</v>
      </c>
      <c r="I501" t="s">
        <v>17</v>
      </c>
      <c r="J501" t="s">
        <v>950</v>
      </c>
      <c r="K501" t="s">
        <v>30</v>
      </c>
    </row>
    <row r="502" spans="1:11" x14ac:dyDescent="0.25">
      <c r="A502" t="s">
        <v>951</v>
      </c>
      <c r="B502" s="2">
        <v>45813</v>
      </c>
      <c r="C502" t="s">
        <v>25</v>
      </c>
      <c r="D502" t="s">
        <v>64</v>
      </c>
      <c r="E502" t="s">
        <v>14</v>
      </c>
      <c r="F502">
        <v>123527.43</v>
      </c>
      <c r="G502" t="s">
        <v>38</v>
      </c>
      <c r="H502" t="s">
        <v>16</v>
      </c>
      <c r="I502" t="s">
        <v>17</v>
      </c>
      <c r="J502" t="s">
        <v>952</v>
      </c>
      <c r="K502" t="s">
        <v>18</v>
      </c>
    </row>
    <row r="503" spans="1:11" x14ac:dyDescent="0.25">
      <c r="A503" t="s">
        <v>953</v>
      </c>
      <c r="B503" s="2">
        <v>45732</v>
      </c>
      <c r="C503" t="s">
        <v>20</v>
      </c>
      <c r="D503" t="s">
        <v>26</v>
      </c>
      <c r="E503" t="s">
        <v>41</v>
      </c>
      <c r="F503">
        <v>136809.69</v>
      </c>
      <c r="G503" t="s">
        <v>38</v>
      </c>
      <c r="H503" t="s">
        <v>16</v>
      </c>
      <c r="I503" t="s">
        <v>17</v>
      </c>
      <c r="K503" t="s">
        <v>18</v>
      </c>
    </row>
    <row r="504" spans="1:11" x14ac:dyDescent="0.25">
      <c r="A504" t="s">
        <v>954</v>
      </c>
      <c r="B504" s="2">
        <v>45080</v>
      </c>
      <c r="C504" t="s">
        <v>12</v>
      </c>
      <c r="D504" t="s">
        <v>21</v>
      </c>
      <c r="E504" t="s">
        <v>44</v>
      </c>
      <c r="F504">
        <v>50043.27</v>
      </c>
      <c r="G504" t="s">
        <v>28</v>
      </c>
      <c r="H504" t="s">
        <v>16</v>
      </c>
      <c r="I504" t="s">
        <v>17</v>
      </c>
      <c r="J504" t="s">
        <v>955</v>
      </c>
      <c r="K504" t="s">
        <v>30</v>
      </c>
    </row>
    <row r="505" spans="1:11" x14ac:dyDescent="0.25">
      <c r="A505" t="s">
        <v>956</v>
      </c>
      <c r="B505" s="2">
        <v>45750</v>
      </c>
      <c r="C505" t="s">
        <v>12</v>
      </c>
      <c r="D505" t="s">
        <v>46</v>
      </c>
      <c r="E505" t="s">
        <v>14</v>
      </c>
      <c r="F505">
        <v>229410</v>
      </c>
      <c r="G505" t="s">
        <v>15</v>
      </c>
      <c r="H505" t="s">
        <v>16</v>
      </c>
      <c r="I505" t="s">
        <v>17</v>
      </c>
      <c r="J505" t="s">
        <v>957</v>
      </c>
      <c r="K505" t="s">
        <v>18</v>
      </c>
    </row>
    <row r="506" spans="1:11" x14ac:dyDescent="0.25">
      <c r="A506" t="s">
        <v>958</v>
      </c>
      <c r="B506" s="2">
        <v>45387</v>
      </c>
      <c r="C506" t="s">
        <v>12</v>
      </c>
      <c r="D506" t="s">
        <v>21</v>
      </c>
      <c r="E506" t="s">
        <v>22</v>
      </c>
      <c r="F506">
        <v>62169.54</v>
      </c>
      <c r="G506" t="s">
        <v>15</v>
      </c>
      <c r="H506" t="s">
        <v>16</v>
      </c>
      <c r="I506" t="s">
        <v>17</v>
      </c>
      <c r="J506" t="s">
        <v>959</v>
      </c>
      <c r="K506" t="s">
        <v>30</v>
      </c>
    </row>
    <row r="507" spans="1:11" x14ac:dyDescent="0.25">
      <c r="A507" t="s">
        <v>960</v>
      </c>
      <c r="B507" s="2">
        <v>45279</v>
      </c>
      <c r="C507" t="s">
        <v>25</v>
      </c>
      <c r="D507" t="s">
        <v>21</v>
      </c>
      <c r="E507" t="s">
        <v>27</v>
      </c>
      <c r="F507">
        <v>140373.56</v>
      </c>
      <c r="G507" t="s">
        <v>28</v>
      </c>
      <c r="H507" t="s">
        <v>16</v>
      </c>
      <c r="I507" t="s">
        <v>17</v>
      </c>
      <c r="J507" t="s">
        <v>961</v>
      </c>
      <c r="K507" t="s">
        <v>18</v>
      </c>
    </row>
    <row r="508" spans="1:11" x14ac:dyDescent="0.25">
      <c r="A508" t="s">
        <v>962</v>
      </c>
      <c r="B508" s="2">
        <v>45422</v>
      </c>
      <c r="C508" t="s">
        <v>12</v>
      </c>
      <c r="D508" t="s">
        <v>60</v>
      </c>
      <c r="E508" t="s">
        <v>14</v>
      </c>
      <c r="G508" t="s">
        <v>38</v>
      </c>
      <c r="H508" t="s">
        <v>34</v>
      </c>
      <c r="I508" t="s">
        <v>17</v>
      </c>
      <c r="K508" t="s">
        <v>18</v>
      </c>
    </row>
    <row r="509" spans="1:11" x14ac:dyDescent="0.25">
      <c r="A509" t="s">
        <v>963</v>
      </c>
      <c r="B509" s="2">
        <v>45632</v>
      </c>
      <c r="C509" t="s">
        <v>25</v>
      </c>
      <c r="D509" t="s">
        <v>64</v>
      </c>
      <c r="E509" t="s">
        <v>14</v>
      </c>
      <c r="F509">
        <v>171886.18</v>
      </c>
      <c r="G509" t="s">
        <v>28</v>
      </c>
      <c r="H509" t="s">
        <v>16</v>
      </c>
      <c r="I509" t="s">
        <v>17</v>
      </c>
      <c r="K509" t="s">
        <v>18</v>
      </c>
    </row>
    <row r="510" spans="1:11" x14ac:dyDescent="0.25">
      <c r="A510" t="s">
        <v>964</v>
      </c>
      <c r="B510" s="2">
        <v>45807</v>
      </c>
      <c r="C510" t="s">
        <v>20</v>
      </c>
      <c r="D510" t="s">
        <v>64</v>
      </c>
      <c r="E510" t="s">
        <v>22</v>
      </c>
      <c r="F510">
        <v>101130.65</v>
      </c>
      <c r="G510" t="s">
        <v>28</v>
      </c>
      <c r="H510" t="s">
        <v>16</v>
      </c>
      <c r="I510" t="s">
        <v>17</v>
      </c>
      <c r="J510" t="s">
        <v>965</v>
      </c>
      <c r="K510" t="s">
        <v>30</v>
      </c>
    </row>
    <row r="511" spans="1:11" x14ac:dyDescent="0.25">
      <c r="A511" t="s">
        <v>966</v>
      </c>
      <c r="B511" s="2">
        <v>45782</v>
      </c>
      <c r="C511" t="s">
        <v>25</v>
      </c>
      <c r="D511" t="s">
        <v>60</v>
      </c>
      <c r="E511" t="s">
        <v>27</v>
      </c>
      <c r="F511">
        <v>234856.02</v>
      </c>
      <c r="G511" t="s">
        <v>38</v>
      </c>
      <c r="H511" t="s">
        <v>16</v>
      </c>
      <c r="I511" t="s">
        <v>17</v>
      </c>
      <c r="J511" t="s">
        <v>967</v>
      </c>
      <c r="K511" t="s">
        <v>30</v>
      </c>
    </row>
    <row r="512" spans="1:11" x14ac:dyDescent="0.25">
      <c r="A512" t="s">
        <v>968</v>
      </c>
      <c r="B512" s="2">
        <v>45417</v>
      </c>
      <c r="C512" t="s">
        <v>25</v>
      </c>
      <c r="D512" t="s">
        <v>26</v>
      </c>
      <c r="E512" t="s">
        <v>44</v>
      </c>
      <c r="F512">
        <v>209962.76</v>
      </c>
      <c r="G512" t="s">
        <v>28</v>
      </c>
      <c r="H512" t="s">
        <v>16</v>
      </c>
      <c r="I512" t="s">
        <v>17</v>
      </c>
      <c r="J512" t="s">
        <v>969</v>
      </c>
      <c r="K512" t="s">
        <v>30</v>
      </c>
    </row>
    <row r="513" spans="1:11" x14ac:dyDescent="0.25">
      <c r="A513" t="s">
        <v>970</v>
      </c>
      <c r="B513" s="2">
        <v>45728</v>
      </c>
      <c r="C513" t="s">
        <v>12</v>
      </c>
      <c r="D513" t="s">
        <v>37</v>
      </c>
      <c r="E513" t="s">
        <v>14</v>
      </c>
      <c r="F513">
        <v>11502.18</v>
      </c>
      <c r="G513" t="s">
        <v>15</v>
      </c>
      <c r="H513" t="s">
        <v>16</v>
      </c>
      <c r="I513" t="s">
        <v>17</v>
      </c>
      <c r="J513" t="s">
        <v>971</v>
      </c>
      <c r="K513" t="s">
        <v>18</v>
      </c>
    </row>
    <row r="514" spans="1:11" x14ac:dyDescent="0.25">
      <c r="A514" t="s">
        <v>972</v>
      </c>
      <c r="B514" s="2">
        <v>45418</v>
      </c>
      <c r="C514" t="s">
        <v>25</v>
      </c>
      <c r="D514" t="s">
        <v>46</v>
      </c>
      <c r="E514" t="s">
        <v>27</v>
      </c>
      <c r="F514">
        <v>231272.44</v>
      </c>
      <c r="G514" t="s">
        <v>28</v>
      </c>
      <c r="H514" t="s">
        <v>16</v>
      </c>
      <c r="I514" t="s">
        <v>17</v>
      </c>
      <c r="J514" t="s">
        <v>973</v>
      </c>
      <c r="K514" t="s">
        <v>18</v>
      </c>
    </row>
    <row r="515" spans="1:11" x14ac:dyDescent="0.25">
      <c r="A515" t="s">
        <v>974</v>
      </c>
      <c r="B515" s="2">
        <v>46011</v>
      </c>
      <c r="C515" t="s">
        <v>25</v>
      </c>
      <c r="D515" t="s">
        <v>13</v>
      </c>
      <c r="E515" t="s">
        <v>22</v>
      </c>
      <c r="F515">
        <v>24395.71</v>
      </c>
      <c r="G515" t="s">
        <v>28</v>
      </c>
      <c r="H515" t="s">
        <v>16</v>
      </c>
      <c r="I515" t="s">
        <v>17</v>
      </c>
      <c r="J515" t="s">
        <v>975</v>
      </c>
      <c r="K515" t="s">
        <v>18</v>
      </c>
    </row>
    <row r="516" spans="1:11" x14ac:dyDescent="0.25">
      <c r="A516" t="s">
        <v>976</v>
      </c>
      <c r="B516" s="2">
        <v>45377</v>
      </c>
      <c r="C516" t="s">
        <v>25</v>
      </c>
      <c r="D516" t="s">
        <v>37</v>
      </c>
      <c r="E516" t="s">
        <v>27</v>
      </c>
      <c r="F516">
        <v>152055.04999999999</v>
      </c>
      <c r="G516" t="s">
        <v>15</v>
      </c>
      <c r="H516" t="s">
        <v>16</v>
      </c>
      <c r="I516" t="s">
        <v>17</v>
      </c>
      <c r="J516" t="s">
        <v>977</v>
      </c>
      <c r="K516" t="s">
        <v>18</v>
      </c>
    </row>
    <row r="517" spans="1:11" x14ac:dyDescent="0.25">
      <c r="A517" t="s">
        <v>978</v>
      </c>
      <c r="B517" s="2">
        <v>45874</v>
      </c>
      <c r="C517" t="s">
        <v>12</v>
      </c>
      <c r="D517" t="s">
        <v>60</v>
      </c>
      <c r="E517" t="s">
        <v>27</v>
      </c>
      <c r="F517">
        <v>180838.71</v>
      </c>
      <c r="G517" t="s">
        <v>38</v>
      </c>
      <c r="H517" t="s">
        <v>16</v>
      </c>
      <c r="I517" t="s">
        <v>17</v>
      </c>
      <c r="J517" t="s">
        <v>979</v>
      </c>
      <c r="K517" t="s">
        <v>18</v>
      </c>
    </row>
    <row r="518" spans="1:11" x14ac:dyDescent="0.25">
      <c r="A518" t="s">
        <v>980</v>
      </c>
      <c r="B518" s="2">
        <v>45272</v>
      </c>
      <c r="C518" t="s">
        <v>25</v>
      </c>
      <c r="D518" t="s">
        <v>26</v>
      </c>
      <c r="E518" t="s">
        <v>41</v>
      </c>
      <c r="F518">
        <v>193048.68</v>
      </c>
      <c r="G518" t="s">
        <v>28</v>
      </c>
      <c r="H518" t="s">
        <v>16</v>
      </c>
      <c r="I518" t="s">
        <v>17</v>
      </c>
      <c r="J518" t="s">
        <v>981</v>
      </c>
      <c r="K518" t="s">
        <v>18</v>
      </c>
    </row>
    <row r="519" spans="1:11" x14ac:dyDescent="0.25">
      <c r="A519" t="s">
        <v>982</v>
      </c>
      <c r="B519" s="2">
        <v>45432</v>
      </c>
      <c r="C519" t="s">
        <v>25</v>
      </c>
      <c r="D519" t="s">
        <v>46</v>
      </c>
      <c r="E519" t="s">
        <v>14</v>
      </c>
      <c r="F519">
        <v>135507.34</v>
      </c>
      <c r="G519" t="s">
        <v>28</v>
      </c>
      <c r="H519" t="s">
        <v>16</v>
      </c>
      <c r="I519" t="s">
        <v>17</v>
      </c>
      <c r="J519" t="s">
        <v>983</v>
      </c>
      <c r="K519" t="s">
        <v>18</v>
      </c>
    </row>
    <row r="520" spans="1:11" x14ac:dyDescent="0.25">
      <c r="A520" t="s">
        <v>984</v>
      </c>
      <c r="B520" s="2">
        <v>45100</v>
      </c>
      <c r="C520" t="s">
        <v>12</v>
      </c>
      <c r="D520" t="s">
        <v>64</v>
      </c>
      <c r="E520" t="s">
        <v>44</v>
      </c>
      <c r="F520">
        <v>201907.65</v>
      </c>
      <c r="G520" t="s">
        <v>28</v>
      </c>
      <c r="H520" t="s">
        <v>16</v>
      </c>
      <c r="I520" t="s">
        <v>17</v>
      </c>
      <c r="J520" t="s">
        <v>985</v>
      </c>
      <c r="K520" t="s">
        <v>18</v>
      </c>
    </row>
    <row r="521" spans="1:11" x14ac:dyDescent="0.25">
      <c r="A521" t="s">
        <v>986</v>
      </c>
      <c r="B521" s="2">
        <v>45331</v>
      </c>
      <c r="C521" t="s">
        <v>25</v>
      </c>
      <c r="D521" t="s">
        <v>26</v>
      </c>
      <c r="E521" t="s">
        <v>41</v>
      </c>
      <c r="F521">
        <v>62391.21</v>
      </c>
      <c r="G521" t="s">
        <v>15</v>
      </c>
      <c r="H521" t="s">
        <v>34</v>
      </c>
      <c r="I521" t="s">
        <v>17</v>
      </c>
      <c r="J521" t="s">
        <v>987</v>
      </c>
      <c r="K521" t="s">
        <v>18</v>
      </c>
    </row>
    <row r="522" spans="1:11" x14ac:dyDescent="0.25">
      <c r="A522" t="s">
        <v>988</v>
      </c>
      <c r="B522" s="2">
        <v>45522</v>
      </c>
      <c r="C522" t="s">
        <v>73</v>
      </c>
      <c r="D522" t="s">
        <v>64</v>
      </c>
      <c r="E522" t="s">
        <v>14</v>
      </c>
      <c r="F522">
        <v>118566.39999999999</v>
      </c>
      <c r="G522" t="s">
        <v>28</v>
      </c>
      <c r="H522" t="s">
        <v>16</v>
      </c>
      <c r="I522" t="s">
        <v>17</v>
      </c>
      <c r="J522" t="s">
        <v>989</v>
      </c>
      <c r="K522" t="s">
        <v>18</v>
      </c>
    </row>
    <row r="523" spans="1:11" x14ac:dyDescent="0.25">
      <c r="A523" t="s">
        <v>990</v>
      </c>
      <c r="B523" s="2">
        <v>45577</v>
      </c>
      <c r="C523" t="s">
        <v>25</v>
      </c>
      <c r="D523" t="s">
        <v>21</v>
      </c>
      <c r="E523" t="s">
        <v>22</v>
      </c>
      <c r="F523">
        <v>216988.14</v>
      </c>
      <c r="G523" t="s">
        <v>28</v>
      </c>
      <c r="H523" t="s">
        <v>16</v>
      </c>
      <c r="I523" t="s">
        <v>17</v>
      </c>
      <c r="J523" t="s">
        <v>991</v>
      </c>
      <c r="K523" t="s">
        <v>18</v>
      </c>
    </row>
    <row r="524" spans="1:11" x14ac:dyDescent="0.25">
      <c r="A524" t="s">
        <v>992</v>
      </c>
      <c r="B524" s="2">
        <v>46004</v>
      </c>
      <c r="C524" t="s">
        <v>20</v>
      </c>
      <c r="D524" t="s">
        <v>26</v>
      </c>
      <c r="E524" t="s">
        <v>41</v>
      </c>
      <c r="F524">
        <v>288235.31</v>
      </c>
      <c r="G524" t="s">
        <v>28</v>
      </c>
      <c r="H524" t="s">
        <v>16</v>
      </c>
      <c r="I524" t="s">
        <v>17</v>
      </c>
      <c r="J524" t="s">
        <v>993</v>
      </c>
      <c r="K524" t="s">
        <v>18</v>
      </c>
    </row>
    <row r="525" spans="1:11" x14ac:dyDescent="0.25">
      <c r="A525" t="s">
        <v>994</v>
      </c>
      <c r="B525" s="2">
        <v>46016</v>
      </c>
      <c r="C525" t="s">
        <v>20</v>
      </c>
      <c r="D525" t="s">
        <v>60</v>
      </c>
      <c r="E525" t="s">
        <v>27</v>
      </c>
      <c r="F525">
        <v>113819.32</v>
      </c>
      <c r="G525" t="s">
        <v>38</v>
      </c>
      <c r="H525" t="s">
        <v>16</v>
      </c>
      <c r="I525" t="s">
        <v>17</v>
      </c>
      <c r="J525" t="s">
        <v>995</v>
      </c>
      <c r="K525" t="s">
        <v>18</v>
      </c>
    </row>
    <row r="526" spans="1:11" x14ac:dyDescent="0.25">
      <c r="A526" t="s">
        <v>996</v>
      </c>
      <c r="B526" s="2">
        <v>45311</v>
      </c>
      <c r="C526" t="s">
        <v>59</v>
      </c>
      <c r="D526" t="s">
        <v>37</v>
      </c>
      <c r="E526" t="s">
        <v>44</v>
      </c>
      <c r="F526">
        <v>139988.94</v>
      </c>
      <c r="G526" t="s">
        <v>28</v>
      </c>
      <c r="H526" t="s">
        <v>16</v>
      </c>
      <c r="I526" t="s">
        <v>17</v>
      </c>
      <c r="K526" t="s">
        <v>30</v>
      </c>
    </row>
    <row r="527" spans="1:11" x14ac:dyDescent="0.25">
      <c r="A527" t="s">
        <v>997</v>
      </c>
      <c r="B527" s="2">
        <v>45270</v>
      </c>
      <c r="C527" t="s">
        <v>73</v>
      </c>
      <c r="D527" t="s">
        <v>60</v>
      </c>
      <c r="E527" t="s">
        <v>53</v>
      </c>
      <c r="F527">
        <v>205011</v>
      </c>
      <c r="G527" t="s">
        <v>28</v>
      </c>
      <c r="H527" t="s">
        <v>16</v>
      </c>
      <c r="I527" t="s">
        <v>17</v>
      </c>
      <c r="K527" t="s">
        <v>30</v>
      </c>
    </row>
    <row r="528" spans="1:11" x14ac:dyDescent="0.25">
      <c r="A528" t="s">
        <v>998</v>
      </c>
      <c r="B528" s="2">
        <v>45789</v>
      </c>
      <c r="C528" t="s">
        <v>12</v>
      </c>
      <c r="D528" t="s">
        <v>13</v>
      </c>
      <c r="E528" t="s">
        <v>14</v>
      </c>
      <c r="F528">
        <v>163043.76</v>
      </c>
      <c r="G528" t="s">
        <v>15</v>
      </c>
      <c r="H528" t="s">
        <v>16</v>
      </c>
      <c r="I528" t="s">
        <v>17</v>
      </c>
      <c r="J528" t="s">
        <v>999</v>
      </c>
      <c r="K528" t="s">
        <v>30</v>
      </c>
    </row>
    <row r="529" spans="1:11" x14ac:dyDescent="0.25">
      <c r="A529" t="s">
        <v>1000</v>
      </c>
      <c r="B529" s="2">
        <v>45182</v>
      </c>
      <c r="C529" t="s">
        <v>25</v>
      </c>
      <c r="D529" t="s">
        <v>21</v>
      </c>
      <c r="E529" t="s">
        <v>156</v>
      </c>
      <c r="F529">
        <v>114989.61</v>
      </c>
      <c r="G529" t="s">
        <v>15</v>
      </c>
      <c r="H529" t="s">
        <v>16</v>
      </c>
      <c r="I529" t="s">
        <v>17</v>
      </c>
      <c r="J529" t="s">
        <v>1001</v>
      </c>
      <c r="K529" t="s">
        <v>30</v>
      </c>
    </row>
    <row r="530" spans="1:11" x14ac:dyDescent="0.25">
      <c r="A530" t="s">
        <v>1002</v>
      </c>
      <c r="B530" s="2">
        <v>45973</v>
      </c>
      <c r="C530" t="s">
        <v>73</v>
      </c>
      <c r="D530" t="s">
        <v>26</v>
      </c>
      <c r="E530" t="s">
        <v>14</v>
      </c>
      <c r="F530">
        <v>101735.17</v>
      </c>
      <c r="G530" t="s">
        <v>28</v>
      </c>
      <c r="H530" t="s">
        <v>16</v>
      </c>
      <c r="I530" t="s">
        <v>17</v>
      </c>
      <c r="J530" t="s">
        <v>1003</v>
      </c>
      <c r="K530" t="s">
        <v>30</v>
      </c>
    </row>
    <row r="531" spans="1:11" x14ac:dyDescent="0.25">
      <c r="A531" t="s">
        <v>1004</v>
      </c>
      <c r="B531" s="2">
        <v>45438</v>
      </c>
      <c r="C531" t="s">
        <v>25</v>
      </c>
      <c r="D531" t="s">
        <v>46</v>
      </c>
      <c r="E531" t="s">
        <v>27</v>
      </c>
      <c r="F531">
        <v>228486.14</v>
      </c>
      <c r="G531" t="s">
        <v>28</v>
      </c>
      <c r="H531" t="s">
        <v>16</v>
      </c>
      <c r="I531" t="s">
        <v>17</v>
      </c>
      <c r="J531" t="s">
        <v>1005</v>
      </c>
      <c r="K531" t="s">
        <v>18</v>
      </c>
    </row>
    <row r="532" spans="1:11" x14ac:dyDescent="0.25">
      <c r="A532" t="s">
        <v>1006</v>
      </c>
      <c r="B532" s="2">
        <v>44992</v>
      </c>
      <c r="C532" t="s">
        <v>20</v>
      </c>
      <c r="D532" t="s">
        <v>46</v>
      </c>
      <c r="E532" t="s">
        <v>14</v>
      </c>
      <c r="F532">
        <v>129750.91</v>
      </c>
      <c r="G532" t="s">
        <v>15</v>
      </c>
      <c r="H532" t="s">
        <v>34</v>
      </c>
      <c r="I532" t="s">
        <v>17</v>
      </c>
      <c r="J532" t="s">
        <v>1007</v>
      </c>
      <c r="K532" t="s">
        <v>18</v>
      </c>
    </row>
    <row r="533" spans="1:11" x14ac:dyDescent="0.25">
      <c r="A533" t="s">
        <v>1008</v>
      </c>
      <c r="B533" s="2">
        <v>45791</v>
      </c>
      <c r="C533" t="s">
        <v>73</v>
      </c>
      <c r="D533" t="s">
        <v>13</v>
      </c>
      <c r="E533" t="s">
        <v>22</v>
      </c>
      <c r="F533">
        <v>165680.48000000001</v>
      </c>
      <c r="G533" t="s">
        <v>15</v>
      </c>
      <c r="H533" t="s">
        <v>16</v>
      </c>
      <c r="I533" t="s">
        <v>17</v>
      </c>
      <c r="J533" t="s">
        <v>1009</v>
      </c>
      <c r="K533" t="s">
        <v>18</v>
      </c>
    </row>
    <row r="534" spans="1:11" x14ac:dyDescent="0.25">
      <c r="A534" t="s">
        <v>1010</v>
      </c>
      <c r="B534" s="2">
        <v>45351</v>
      </c>
      <c r="C534" t="s">
        <v>73</v>
      </c>
      <c r="D534" t="s">
        <v>21</v>
      </c>
      <c r="E534" t="s">
        <v>41</v>
      </c>
      <c r="F534">
        <v>143117.1</v>
      </c>
      <c r="G534" t="s">
        <v>15</v>
      </c>
      <c r="H534" t="s">
        <v>16</v>
      </c>
      <c r="I534" t="s">
        <v>17</v>
      </c>
      <c r="J534" t="s">
        <v>1011</v>
      </c>
      <c r="K534" t="s">
        <v>18</v>
      </c>
    </row>
    <row r="535" spans="1:11" x14ac:dyDescent="0.25">
      <c r="A535" t="s">
        <v>1012</v>
      </c>
      <c r="B535" s="2">
        <v>44964</v>
      </c>
      <c r="C535" t="s">
        <v>20</v>
      </c>
      <c r="D535" t="s">
        <v>64</v>
      </c>
      <c r="E535" t="s">
        <v>41</v>
      </c>
      <c r="F535">
        <v>42663.49</v>
      </c>
      <c r="G535" t="s">
        <v>15</v>
      </c>
      <c r="H535" t="s">
        <v>16</v>
      </c>
      <c r="I535" t="s">
        <v>17</v>
      </c>
      <c r="J535" t="s">
        <v>1013</v>
      </c>
      <c r="K535" t="s">
        <v>18</v>
      </c>
    </row>
    <row r="536" spans="1:11" x14ac:dyDescent="0.25">
      <c r="A536" t="s">
        <v>1014</v>
      </c>
      <c r="B536" s="2">
        <v>45793</v>
      </c>
      <c r="C536" t="s">
        <v>25</v>
      </c>
      <c r="D536" t="s">
        <v>64</v>
      </c>
      <c r="E536" t="s">
        <v>156</v>
      </c>
      <c r="F536">
        <v>58172.2</v>
      </c>
      <c r="G536" t="s">
        <v>15</v>
      </c>
      <c r="H536" t="s">
        <v>16</v>
      </c>
      <c r="I536" t="s">
        <v>17</v>
      </c>
      <c r="J536" t="s">
        <v>1015</v>
      </c>
      <c r="K536" t="s">
        <v>18</v>
      </c>
    </row>
    <row r="537" spans="1:11" x14ac:dyDescent="0.25">
      <c r="A537" t="s">
        <v>1016</v>
      </c>
      <c r="B537" s="2">
        <v>45934</v>
      </c>
      <c r="C537" t="s">
        <v>20</v>
      </c>
      <c r="D537" t="s">
        <v>37</v>
      </c>
      <c r="E537" t="s">
        <v>41</v>
      </c>
      <c r="F537">
        <v>117074.75</v>
      </c>
      <c r="G537" t="s">
        <v>15</v>
      </c>
      <c r="H537" t="s">
        <v>16</v>
      </c>
      <c r="I537" t="s">
        <v>17</v>
      </c>
      <c r="J537" t="s">
        <v>1017</v>
      </c>
      <c r="K537" t="s">
        <v>18</v>
      </c>
    </row>
    <row r="538" spans="1:11" x14ac:dyDescent="0.25">
      <c r="A538" t="s">
        <v>1018</v>
      </c>
      <c r="B538" s="2">
        <v>45290</v>
      </c>
      <c r="C538" t="s">
        <v>25</v>
      </c>
      <c r="D538" t="s">
        <v>60</v>
      </c>
      <c r="E538" t="s">
        <v>22</v>
      </c>
      <c r="F538">
        <v>22872.32</v>
      </c>
      <c r="G538" t="s">
        <v>38</v>
      </c>
      <c r="H538" t="s">
        <v>16</v>
      </c>
      <c r="I538" t="s">
        <v>17</v>
      </c>
      <c r="J538" t="s">
        <v>1019</v>
      </c>
      <c r="K538" t="s">
        <v>18</v>
      </c>
    </row>
    <row r="539" spans="1:11" x14ac:dyDescent="0.25">
      <c r="A539" t="s">
        <v>1020</v>
      </c>
      <c r="B539" s="2">
        <v>45003</v>
      </c>
      <c r="C539" t="s">
        <v>12</v>
      </c>
      <c r="D539" t="s">
        <v>60</v>
      </c>
      <c r="E539" t="s">
        <v>22</v>
      </c>
      <c r="F539">
        <v>57219.519999999997</v>
      </c>
      <c r="G539" t="s">
        <v>38</v>
      </c>
      <c r="H539" t="s">
        <v>16</v>
      </c>
      <c r="I539" t="s">
        <v>17</v>
      </c>
      <c r="J539" t="s">
        <v>1021</v>
      </c>
      <c r="K539" t="s">
        <v>18</v>
      </c>
    </row>
    <row r="540" spans="1:11" x14ac:dyDescent="0.25">
      <c r="A540" t="s">
        <v>1022</v>
      </c>
      <c r="B540" s="2">
        <v>45637</v>
      </c>
      <c r="C540" t="s">
        <v>12</v>
      </c>
      <c r="D540" t="s">
        <v>26</v>
      </c>
      <c r="E540" t="s">
        <v>14</v>
      </c>
      <c r="F540">
        <v>206972.85</v>
      </c>
      <c r="G540" t="s">
        <v>15</v>
      </c>
      <c r="H540" t="s">
        <v>34</v>
      </c>
      <c r="I540" t="s">
        <v>17</v>
      </c>
      <c r="J540" t="s">
        <v>1023</v>
      </c>
      <c r="K540" t="s">
        <v>30</v>
      </c>
    </row>
    <row r="541" spans="1:11" x14ac:dyDescent="0.25">
      <c r="A541" t="s">
        <v>1024</v>
      </c>
      <c r="B541" s="2">
        <v>45012</v>
      </c>
      <c r="C541" t="s">
        <v>20</v>
      </c>
      <c r="D541" t="s">
        <v>21</v>
      </c>
      <c r="E541" t="s">
        <v>41</v>
      </c>
      <c r="F541">
        <v>195204.09</v>
      </c>
      <c r="G541" t="s">
        <v>28</v>
      </c>
      <c r="H541" t="s">
        <v>16</v>
      </c>
      <c r="I541" t="s">
        <v>17</v>
      </c>
      <c r="J541" t="s">
        <v>1025</v>
      </c>
      <c r="K541" t="s">
        <v>30</v>
      </c>
    </row>
    <row r="542" spans="1:11" x14ac:dyDescent="0.25">
      <c r="A542" t="s">
        <v>1026</v>
      </c>
      <c r="B542" s="2">
        <v>45718</v>
      </c>
      <c r="C542" t="s">
        <v>12</v>
      </c>
      <c r="D542" t="s">
        <v>37</v>
      </c>
      <c r="E542" t="s">
        <v>27</v>
      </c>
      <c r="F542">
        <v>56788.66</v>
      </c>
      <c r="G542" t="s">
        <v>38</v>
      </c>
      <c r="H542" t="s">
        <v>16</v>
      </c>
      <c r="I542" t="s">
        <v>17</v>
      </c>
      <c r="J542" t="s">
        <v>1027</v>
      </c>
      <c r="K542" t="s">
        <v>18</v>
      </c>
    </row>
    <row r="543" spans="1:11" x14ac:dyDescent="0.25">
      <c r="A543" t="s">
        <v>1028</v>
      </c>
      <c r="B543" s="2">
        <v>45882</v>
      </c>
      <c r="C543" t="s">
        <v>20</v>
      </c>
      <c r="D543" t="s">
        <v>64</v>
      </c>
      <c r="E543" t="s">
        <v>22</v>
      </c>
      <c r="F543">
        <v>46352.85</v>
      </c>
      <c r="G543" t="s">
        <v>38</v>
      </c>
      <c r="H543" t="s">
        <v>16</v>
      </c>
      <c r="I543" t="s">
        <v>17</v>
      </c>
      <c r="J543" t="s">
        <v>1029</v>
      </c>
      <c r="K543" t="s">
        <v>18</v>
      </c>
    </row>
    <row r="544" spans="1:11" x14ac:dyDescent="0.25">
      <c r="A544" t="s">
        <v>1030</v>
      </c>
      <c r="B544" s="2">
        <v>45819</v>
      </c>
      <c r="C544" t="s">
        <v>20</v>
      </c>
      <c r="D544" t="s">
        <v>60</v>
      </c>
      <c r="E544" t="s">
        <v>44</v>
      </c>
      <c r="F544">
        <v>260416.45</v>
      </c>
      <c r="G544" t="s">
        <v>38</v>
      </c>
      <c r="H544" t="s">
        <v>34</v>
      </c>
      <c r="I544" t="s">
        <v>17</v>
      </c>
      <c r="J544" t="s">
        <v>1031</v>
      </c>
      <c r="K544" t="s">
        <v>18</v>
      </c>
    </row>
    <row r="545" spans="1:11" x14ac:dyDescent="0.25">
      <c r="A545" t="s">
        <v>1032</v>
      </c>
      <c r="B545" s="2">
        <v>45447</v>
      </c>
      <c r="C545" t="s">
        <v>12</v>
      </c>
      <c r="D545" t="s">
        <v>13</v>
      </c>
      <c r="E545" t="s">
        <v>27</v>
      </c>
      <c r="F545">
        <v>47936.41</v>
      </c>
      <c r="G545" t="s">
        <v>38</v>
      </c>
      <c r="H545" t="s">
        <v>16</v>
      </c>
      <c r="I545" t="s">
        <v>17</v>
      </c>
      <c r="K545" t="s">
        <v>18</v>
      </c>
    </row>
    <row r="546" spans="1:11" x14ac:dyDescent="0.25">
      <c r="A546" t="s">
        <v>1033</v>
      </c>
      <c r="B546" s="2">
        <v>45143</v>
      </c>
      <c r="C546" t="s">
        <v>25</v>
      </c>
      <c r="D546" t="s">
        <v>60</v>
      </c>
      <c r="E546" t="s">
        <v>156</v>
      </c>
      <c r="F546">
        <v>27885.72</v>
      </c>
      <c r="G546" t="s">
        <v>28</v>
      </c>
      <c r="H546" t="s">
        <v>34</v>
      </c>
      <c r="I546" t="s">
        <v>17</v>
      </c>
      <c r="K546" t="s">
        <v>18</v>
      </c>
    </row>
    <row r="547" spans="1:11" x14ac:dyDescent="0.25">
      <c r="A547" t="s">
        <v>1034</v>
      </c>
      <c r="B547" s="2">
        <v>45156</v>
      </c>
      <c r="C547" t="s">
        <v>73</v>
      </c>
      <c r="D547" t="s">
        <v>60</v>
      </c>
      <c r="E547" t="s">
        <v>41</v>
      </c>
      <c r="F547">
        <v>33822.35</v>
      </c>
      <c r="G547" t="s">
        <v>28</v>
      </c>
      <c r="H547" t="s">
        <v>16</v>
      </c>
      <c r="I547" t="s">
        <v>17</v>
      </c>
      <c r="J547" t="s">
        <v>1035</v>
      </c>
      <c r="K547" t="s">
        <v>18</v>
      </c>
    </row>
    <row r="548" spans="1:11" x14ac:dyDescent="0.25">
      <c r="A548" t="s">
        <v>1036</v>
      </c>
      <c r="B548" s="2">
        <v>45796</v>
      </c>
      <c r="C548" t="s">
        <v>12</v>
      </c>
      <c r="D548" t="s">
        <v>46</v>
      </c>
      <c r="E548" t="s">
        <v>27</v>
      </c>
      <c r="F548">
        <v>40408.699999999997</v>
      </c>
      <c r="G548" t="s">
        <v>15</v>
      </c>
      <c r="H548" t="s">
        <v>16</v>
      </c>
      <c r="I548" t="s">
        <v>17</v>
      </c>
      <c r="J548" t="s">
        <v>1037</v>
      </c>
      <c r="K548" t="s">
        <v>18</v>
      </c>
    </row>
    <row r="549" spans="1:11" x14ac:dyDescent="0.25">
      <c r="A549" t="s">
        <v>1038</v>
      </c>
      <c r="B549" s="2">
        <v>45191</v>
      </c>
      <c r="C549" t="s">
        <v>73</v>
      </c>
      <c r="D549" t="s">
        <v>46</v>
      </c>
      <c r="E549" t="s">
        <v>44</v>
      </c>
      <c r="F549">
        <v>136366.1</v>
      </c>
      <c r="G549" t="s">
        <v>38</v>
      </c>
      <c r="H549" t="s">
        <v>16</v>
      </c>
      <c r="I549" t="s">
        <v>17</v>
      </c>
      <c r="J549" t="s">
        <v>1039</v>
      </c>
      <c r="K549" t="s">
        <v>18</v>
      </c>
    </row>
    <row r="550" spans="1:11" x14ac:dyDescent="0.25">
      <c r="A550" t="s">
        <v>1040</v>
      </c>
      <c r="B550" s="2">
        <v>45249</v>
      </c>
      <c r="C550" t="s">
        <v>25</v>
      </c>
      <c r="D550" t="s">
        <v>21</v>
      </c>
      <c r="E550" t="s">
        <v>22</v>
      </c>
      <c r="F550">
        <v>191005.89</v>
      </c>
      <c r="G550" t="s">
        <v>38</v>
      </c>
      <c r="H550" t="s">
        <v>16</v>
      </c>
      <c r="I550" t="s">
        <v>17</v>
      </c>
      <c r="J550" t="s">
        <v>1041</v>
      </c>
      <c r="K550" t="s">
        <v>18</v>
      </c>
    </row>
    <row r="551" spans="1:11" x14ac:dyDescent="0.25">
      <c r="A551" t="s">
        <v>40</v>
      </c>
      <c r="B551" s="2">
        <v>45577</v>
      </c>
      <c r="C551" t="s">
        <v>20</v>
      </c>
      <c r="D551" t="s">
        <v>13</v>
      </c>
      <c r="E551" t="s">
        <v>27</v>
      </c>
      <c r="F551">
        <v>290959.21999999997</v>
      </c>
      <c r="G551" t="s">
        <v>15</v>
      </c>
      <c r="H551" t="s">
        <v>16</v>
      </c>
      <c r="I551" t="s">
        <v>17</v>
      </c>
      <c r="J551" t="s">
        <v>1042</v>
      </c>
      <c r="K551" t="s">
        <v>18</v>
      </c>
    </row>
    <row r="552" spans="1:11" x14ac:dyDescent="0.25">
      <c r="A552" t="s">
        <v>1043</v>
      </c>
      <c r="B552" s="2">
        <v>45930</v>
      </c>
      <c r="C552" t="s">
        <v>20</v>
      </c>
      <c r="D552" t="s">
        <v>64</v>
      </c>
      <c r="E552" t="s">
        <v>44</v>
      </c>
      <c r="F552">
        <v>124781</v>
      </c>
      <c r="G552" t="s">
        <v>28</v>
      </c>
      <c r="H552" t="s">
        <v>16</v>
      </c>
      <c r="I552" t="s">
        <v>17</v>
      </c>
      <c r="J552" t="s">
        <v>1044</v>
      </c>
      <c r="K552" t="s">
        <v>30</v>
      </c>
    </row>
    <row r="553" spans="1:11" x14ac:dyDescent="0.25">
      <c r="A553" t="s">
        <v>1045</v>
      </c>
      <c r="B553" s="2">
        <v>45283</v>
      </c>
      <c r="C553" t="s">
        <v>25</v>
      </c>
      <c r="D553" t="s">
        <v>60</v>
      </c>
      <c r="E553" t="s">
        <v>44</v>
      </c>
      <c r="F553">
        <v>277964.53000000003</v>
      </c>
      <c r="G553" t="s">
        <v>15</v>
      </c>
      <c r="H553" t="s">
        <v>16</v>
      </c>
      <c r="I553" t="s">
        <v>17</v>
      </c>
      <c r="J553" t="s">
        <v>1046</v>
      </c>
      <c r="K553" t="s">
        <v>18</v>
      </c>
    </row>
    <row r="554" spans="1:11" x14ac:dyDescent="0.25">
      <c r="A554" t="s">
        <v>1047</v>
      </c>
      <c r="B554" s="2">
        <v>45903</v>
      </c>
      <c r="C554" t="s">
        <v>59</v>
      </c>
      <c r="D554" t="s">
        <v>37</v>
      </c>
      <c r="E554" t="s">
        <v>14</v>
      </c>
      <c r="F554">
        <v>48031.74</v>
      </c>
      <c r="G554" t="s">
        <v>28</v>
      </c>
      <c r="H554" t="s">
        <v>16</v>
      </c>
      <c r="I554" t="s">
        <v>17</v>
      </c>
      <c r="J554" t="s">
        <v>1048</v>
      </c>
      <c r="K554" t="s">
        <v>30</v>
      </c>
    </row>
    <row r="555" spans="1:11" x14ac:dyDescent="0.25">
      <c r="A555" t="s">
        <v>1049</v>
      </c>
      <c r="B555" s="2">
        <v>45481</v>
      </c>
      <c r="C555" t="s">
        <v>25</v>
      </c>
      <c r="D555" t="s">
        <v>46</v>
      </c>
      <c r="E555" t="s">
        <v>41</v>
      </c>
      <c r="F555">
        <v>224542.59</v>
      </c>
      <c r="G555" t="s">
        <v>38</v>
      </c>
      <c r="H555" t="s">
        <v>16</v>
      </c>
      <c r="I555" t="s">
        <v>17</v>
      </c>
      <c r="J555" t="s">
        <v>1050</v>
      </c>
      <c r="K555" t="s">
        <v>18</v>
      </c>
    </row>
    <row r="556" spans="1:11" x14ac:dyDescent="0.25">
      <c r="A556" t="s">
        <v>1051</v>
      </c>
      <c r="B556" s="2">
        <v>45481</v>
      </c>
      <c r="C556" t="s">
        <v>12</v>
      </c>
      <c r="D556" t="s">
        <v>13</v>
      </c>
      <c r="E556" t="s">
        <v>44</v>
      </c>
      <c r="F556">
        <v>38795.19</v>
      </c>
      <c r="G556" t="s">
        <v>15</v>
      </c>
      <c r="H556" t="s">
        <v>16</v>
      </c>
      <c r="I556" t="s">
        <v>17</v>
      </c>
      <c r="J556" t="s">
        <v>1052</v>
      </c>
      <c r="K556" t="s">
        <v>30</v>
      </c>
    </row>
    <row r="557" spans="1:11" x14ac:dyDescent="0.25">
      <c r="A557" t="s">
        <v>1053</v>
      </c>
      <c r="B557" s="2">
        <v>45601</v>
      </c>
      <c r="C557" t="s">
        <v>25</v>
      </c>
      <c r="D557" t="s">
        <v>46</v>
      </c>
      <c r="E557" t="s">
        <v>22</v>
      </c>
      <c r="F557">
        <v>142828.4</v>
      </c>
      <c r="G557" t="s">
        <v>15</v>
      </c>
      <c r="H557" t="s">
        <v>16</v>
      </c>
      <c r="I557" t="s">
        <v>17</v>
      </c>
      <c r="J557" t="s">
        <v>1054</v>
      </c>
      <c r="K557" t="s">
        <v>18</v>
      </c>
    </row>
    <row r="558" spans="1:11" x14ac:dyDescent="0.25">
      <c r="A558" t="s">
        <v>40</v>
      </c>
      <c r="B558" s="2">
        <v>45242</v>
      </c>
      <c r="C558" t="s">
        <v>20</v>
      </c>
      <c r="D558" t="s">
        <v>13</v>
      </c>
      <c r="E558" t="s">
        <v>27</v>
      </c>
      <c r="F558">
        <v>37087.870000000003</v>
      </c>
      <c r="G558" t="s">
        <v>38</v>
      </c>
      <c r="H558" t="s">
        <v>16</v>
      </c>
      <c r="I558" t="s">
        <v>17</v>
      </c>
      <c r="J558" t="s">
        <v>1055</v>
      </c>
      <c r="K558" t="s">
        <v>18</v>
      </c>
    </row>
    <row r="559" spans="1:11" x14ac:dyDescent="0.25">
      <c r="A559" t="s">
        <v>1056</v>
      </c>
      <c r="B559" s="2">
        <v>45345</v>
      </c>
      <c r="C559" t="s">
        <v>20</v>
      </c>
      <c r="D559" t="s">
        <v>64</v>
      </c>
      <c r="E559" t="s">
        <v>22</v>
      </c>
      <c r="F559">
        <v>113934.34</v>
      </c>
      <c r="G559" t="s">
        <v>28</v>
      </c>
      <c r="H559" t="s">
        <v>16</v>
      </c>
      <c r="I559" t="s">
        <v>17</v>
      </c>
      <c r="K559" t="s">
        <v>18</v>
      </c>
    </row>
    <row r="560" spans="1:11" x14ac:dyDescent="0.25">
      <c r="A560" t="s">
        <v>1057</v>
      </c>
      <c r="B560" s="2">
        <v>45461</v>
      </c>
      <c r="C560" t="s">
        <v>25</v>
      </c>
      <c r="D560" t="s">
        <v>37</v>
      </c>
      <c r="E560" t="s">
        <v>27</v>
      </c>
      <c r="F560">
        <v>202182.41</v>
      </c>
      <c r="G560" t="s">
        <v>28</v>
      </c>
      <c r="H560" t="s">
        <v>16</v>
      </c>
      <c r="I560" t="s">
        <v>17</v>
      </c>
      <c r="K560" t="s">
        <v>18</v>
      </c>
    </row>
    <row r="561" spans="1:11" x14ac:dyDescent="0.25">
      <c r="A561" t="s">
        <v>1058</v>
      </c>
      <c r="B561" s="2">
        <v>45938</v>
      </c>
      <c r="C561" t="s">
        <v>73</v>
      </c>
      <c r="D561" t="s">
        <v>46</v>
      </c>
      <c r="E561" t="s">
        <v>27</v>
      </c>
      <c r="F561">
        <v>201558.96</v>
      </c>
      <c r="G561" t="s">
        <v>38</v>
      </c>
      <c r="H561" t="s">
        <v>16</v>
      </c>
      <c r="I561" t="s">
        <v>17</v>
      </c>
      <c r="K561" t="s">
        <v>18</v>
      </c>
    </row>
    <row r="562" spans="1:11" x14ac:dyDescent="0.25">
      <c r="A562" t="s">
        <v>1059</v>
      </c>
      <c r="B562" s="2">
        <v>45618</v>
      </c>
      <c r="C562" t="s">
        <v>12</v>
      </c>
      <c r="D562" t="s">
        <v>37</v>
      </c>
      <c r="E562" t="s">
        <v>22</v>
      </c>
      <c r="F562">
        <v>205611.74</v>
      </c>
      <c r="G562" t="s">
        <v>15</v>
      </c>
      <c r="H562" t="s">
        <v>16</v>
      </c>
      <c r="I562" t="s">
        <v>17</v>
      </c>
      <c r="J562" t="s">
        <v>1060</v>
      </c>
      <c r="K562" t="s">
        <v>30</v>
      </c>
    </row>
    <row r="563" spans="1:11" x14ac:dyDescent="0.25">
      <c r="A563" t="s">
        <v>1061</v>
      </c>
      <c r="B563" s="2">
        <v>45609</v>
      </c>
      <c r="C563" t="s">
        <v>12</v>
      </c>
      <c r="D563" t="s">
        <v>46</v>
      </c>
      <c r="E563" t="s">
        <v>41</v>
      </c>
      <c r="F563">
        <v>9629.33</v>
      </c>
      <c r="G563" t="s">
        <v>38</v>
      </c>
      <c r="H563" t="s">
        <v>16</v>
      </c>
      <c r="I563" t="s">
        <v>17</v>
      </c>
      <c r="J563" t="s">
        <v>1062</v>
      </c>
      <c r="K563" t="s">
        <v>30</v>
      </c>
    </row>
    <row r="564" spans="1:11" x14ac:dyDescent="0.25">
      <c r="A564" t="s">
        <v>1063</v>
      </c>
      <c r="B564" s="2">
        <v>44961</v>
      </c>
      <c r="C564" t="s">
        <v>20</v>
      </c>
      <c r="D564" t="s">
        <v>46</v>
      </c>
      <c r="E564" t="s">
        <v>44</v>
      </c>
      <c r="F564">
        <v>192897.48</v>
      </c>
      <c r="G564" t="s">
        <v>28</v>
      </c>
      <c r="H564" t="s">
        <v>16</v>
      </c>
      <c r="I564" t="s">
        <v>17</v>
      </c>
      <c r="J564" t="s">
        <v>1064</v>
      </c>
      <c r="K564" t="s">
        <v>18</v>
      </c>
    </row>
    <row r="565" spans="1:11" x14ac:dyDescent="0.25">
      <c r="A565" t="s">
        <v>1065</v>
      </c>
      <c r="B565" s="2">
        <v>45454</v>
      </c>
      <c r="C565" t="s">
        <v>59</v>
      </c>
      <c r="D565" t="s">
        <v>21</v>
      </c>
      <c r="E565" t="s">
        <v>44</v>
      </c>
      <c r="F565">
        <v>16983.7</v>
      </c>
      <c r="G565" t="s">
        <v>28</v>
      </c>
      <c r="H565" t="s">
        <v>16</v>
      </c>
      <c r="I565" t="s">
        <v>17</v>
      </c>
      <c r="J565" t="s">
        <v>1066</v>
      </c>
      <c r="K565" t="s">
        <v>18</v>
      </c>
    </row>
    <row r="566" spans="1:11" x14ac:dyDescent="0.25">
      <c r="A566" t="s">
        <v>1067</v>
      </c>
      <c r="B566" s="2">
        <v>45984</v>
      </c>
      <c r="C566" t="s">
        <v>20</v>
      </c>
      <c r="D566" t="s">
        <v>21</v>
      </c>
      <c r="E566" t="s">
        <v>22</v>
      </c>
      <c r="F566">
        <v>302180.24</v>
      </c>
      <c r="G566" t="s">
        <v>15</v>
      </c>
      <c r="H566" t="s">
        <v>16</v>
      </c>
      <c r="I566" t="s">
        <v>17</v>
      </c>
      <c r="J566" t="s">
        <v>1068</v>
      </c>
      <c r="K566" t="s">
        <v>18</v>
      </c>
    </row>
    <row r="567" spans="1:11" x14ac:dyDescent="0.25">
      <c r="A567" t="s">
        <v>1069</v>
      </c>
      <c r="B567" s="2">
        <v>45484</v>
      </c>
      <c r="C567" t="s">
        <v>25</v>
      </c>
      <c r="D567" t="s">
        <v>37</v>
      </c>
      <c r="E567" t="s">
        <v>41</v>
      </c>
      <c r="F567">
        <v>101266.94</v>
      </c>
      <c r="G567" t="s">
        <v>38</v>
      </c>
      <c r="H567" t="s">
        <v>16</v>
      </c>
      <c r="I567" t="s">
        <v>17</v>
      </c>
      <c r="J567" t="s">
        <v>1070</v>
      </c>
      <c r="K567" t="s">
        <v>18</v>
      </c>
    </row>
    <row r="568" spans="1:11" x14ac:dyDescent="0.25">
      <c r="A568" t="s">
        <v>1071</v>
      </c>
      <c r="B568" s="2">
        <v>45288</v>
      </c>
      <c r="C568" t="s">
        <v>12</v>
      </c>
      <c r="D568" t="s">
        <v>26</v>
      </c>
      <c r="E568" t="s">
        <v>14</v>
      </c>
      <c r="F568">
        <v>164946.44</v>
      </c>
      <c r="G568" t="s">
        <v>38</v>
      </c>
      <c r="H568" t="s">
        <v>16</v>
      </c>
      <c r="I568" t="s">
        <v>17</v>
      </c>
      <c r="J568" t="s">
        <v>1072</v>
      </c>
      <c r="K568" t="s">
        <v>18</v>
      </c>
    </row>
    <row r="569" spans="1:11" x14ac:dyDescent="0.25">
      <c r="A569" t="s">
        <v>1073</v>
      </c>
      <c r="B569" s="2">
        <v>45306</v>
      </c>
      <c r="C569" t="s">
        <v>20</v>
      </c>
      <c r="D569" t="s">
        <v>60</v>
      </c>
      <c r="E569" t="s">
        <v>27</v>
      </c>
      <c r="F569">
        <v>62231.86</v>
      </c>
      <c r="G569" t="s">
        <v>15</v>
      </c>
      <c r="H569" t="s">
        <v>16</v>
      </c>
      <c r="I569" t="s">
        <v>17</v>
      </c>
      <c r="J569" t="s">
        <v>1074</v>
      </c>
      <c r="K569" t="s">
        <v>18</v>
      </c>
    </row>
    <row r="570" spans="1:11" x14ac:dyDescent="0.25">
      <c r="A570" t="s">
        <v>1075</v>
      </c>
      <c r="B570" s="2">
        <v>45650</v>
      </c>
      <c r="C570" t="s">
        <v>12</v>
      </c>
      <c r="D570" t="s">
        <v>64</v>
      </c>
      <c r="E570" t="s">
        <v>41</v>
      </c>
      <c r="F570">
        <v>165101.1</v>
      </c>
      <c r="G570" t="s">
        <v>28</v>
      </c>
      <c r="H570" t="s">
        <v>16</v>
      </c>
      <c r="I570" t="s">
        <v>17</v>
      </c>
      <c r="J570" t="s">
        <v>1076</v>
      </c>
      <c r="K570" t="s">
        <v>18</v>
      </c>
    </row>
    <row r="571" spans="1:11" x14ac:dyDescent="0.25">
      <c r="A571" t="s">
        <v>1077</v>
      </c>
      <c r="B571" s="2">
        <v>45196</v>
      </c>
      <c r="C571" t="s">
        <v>12</v>
      </c>
      <c r="D571" t="s">
        <v>46</v>
      </c>
      <c r="E571" t="s">
        <v>41</v>
      </c>
      <c r="F571">
        <v>180398.14</v>
      </c>
      <c r="G571" t="s">
        <v>15</v>
      </c>
      <c r="H571" t="s">
        <v>16</v>
      </c>
      <c r="I571" t="s">
        <v>17</v>
      </c>
      <c r="J571" t="s">
        <v>1078</v>
      </c>
      <c r="K571" t="s">
        <v>18</v>
      </c>
    </row>
    <row r="572" spans="1:11" x14ac:dyDescent="0.25">
      <c r="A572" t="s">
        <v>1079</v>
      </c>
      <c r="B572" s="2">
        <v>45602</v>
      </c>
      <c r="C572" t="s">
        <v>12</v>
      </c>
      <c r="D572" t="s">
        <v>37</v>
      </c>
      <c r="E572" t="s">
        <v>44</v>
      </c>
      <c r="F572">
        <v>49124</v>
      </c>
      <c r="G572" t="s">
        <v>38</v>
      </c>
      <c r="H572" t="s">
        <v>16</v>
      </c>
      <c r="I572" t="s">
        <v>17</v>
      </c>
      <c r="J572" t="s">
        <v>787</v>
      </c>
      <c r="K572" t="s">
        <v>30</v>
      </c>
    </row>
    <row r="573" spans="1:11" x14ac:dyDescent="0.25">
      <c r="A573" t="s">
        <v>1080</v>
      </c>
      <c r="B573" s="2">
        <v>45717</v>
      </c>
      <c r="C573" t="s">
        <v>12</v>
      </c>
      <c r="D573" t="s">
        <v>64</v>
      </c>
      <c r="E573" t="s">
        <v>27</v>
      </c>
      <c r="F573">
        <v>122408.97</v>
      </c>
      <c r="G573" t="s">
        <v>38</v>
      </c>
      <c r="H573" t="s">
        <v>16</v>
      </c>
      <c r="I573" t="s">
        <v>17</v>
      </c>
      <c r="J573" t="s">
        <v>1081</v>
      </c>
      <c r="K573" t="s">
        <v>30</v>
      </c>
    </row>
    <row r="574" spans="1:11" x14ac:dyDescent="0.25">
      <c r="A574" t="s">
        <v>1082</v>
      </c>
      <c r="B574" s="2">
        <v>45525</v>
      </c>
      <c r="C574" t="s">
        <v>20</v>
      </c>
      <c r="D574" t="s">
        <v>21</v>
      </c>
      <c r="E574" t="s">
        <v>27</v>
      </c>
      <c r="G574" t="s">
        <v>15</v>
      </c>
      <c r="H574" t="s">
        <v>16</v>
      </c>
      <c r="I574" t="s">
        <v>17</v>
      </c>
      <c r="J574" t="s">
        <v>1083</v>
      </c>
      <c r="K574" t="s">
        <v>18</v>
      </c>
    </row>
    <row r="575" spans="1:11" x14ac:dyDescent="0.25">
      <c r="A575" t="s">
        <v>1084</v>
      </c>
      <c r="B575" s="2">
        <v>45455</v>
      </c>
      <c r="C575" t="s">
        <v>73</v>
      </c>
      <c r="D575" t="s">
        <v>46</v>
      </c>
      <c r="E575" t="s">
        <v>44</v>
      </c>
      <c r="F575">
        <v>38283.120000000003</v>
      </c>
      <c r="G575" t="s">
        <v>15</v>
      </c>
      <c r="H575" t="s">
        <v>16</v>
      </c>
      <c r="I575" t="s">
        <v>17</v>
      </c>
      <c r="J575" t="s">
        <v>1085</v>
      </c>
      <c r="K575" t="s">
        <v>30</v>
      </c>
    </row>
    <row r="576" spans="1:11" x14ac:dyDescent="0.25">
      <c r="A576" t="s">
        <v>1086</v>
      </c>
      <c r="B576" s="2">
        <v>45800</v>
      </c>
      <c r="C576" t="s">
        <v>12</v>
      </c>
      <c r="D576" t="s">
        <v>13</v>
      </c>
      <c r="E576" t="s">
        <v>41</v>
      </c>
      <c r="F576">
        <v>34982.71</v>
      </c>
      <c r="G576" t="s">
        <v>15</v>
      </c>
      <c r="H576" t="s">
        <v>16</v>
      </c>
      <c r="I576" t="s">
        <v>17</v>
      </c>
      <c r="K576" t="s">
        <v>18</v>
      </c>
    </row>
    <row r="577" spans="1:11" x14ac:dyDescent="0.25">
      <c r="A577" t="s">
        <v>1087</v>
      </c>
      <c r="B577" s="2">
        <v>45872</v>
      </c>
      <c r="C577" t="s">
        <v>20</v>
      </c>
      <c r="D577" t="s">
        <v>37</v>
      </c>
      <c r="E577" t="s">
        <v>27</v>
      </c>
      <c r="F577">
        <v>130366.82</v>
      </c>
      <c r="G577" t="s">
        <v>38</v>
      </c>
      <c r="H577" t="s">
        <v>16</v>
      </c>
      <c r="I577" t="s">
        <v>17</v>
      </c>
      <c r="J577" t="s">
        <v>1088</v>
      </c>
      <c r="K577" t="s">
        <v>30</v>
      </c>
    </row>
    <row r="578" spans="1:11" x14ac:dyDescent="0.25">
      <c r="A578" t="s">
        <v>1089</v>
      </c>
      <c r="B578" s="2">
        <v>45753</v>
      </c>
      <c r="C578" t="s">
        <v>59</v>
      </c>
      <c r="D578" t="s">
        <v>37</v>
      </c>
      <c r="E578" t="s">
        <v>27</v>
      </c>
      <c r="F578">
        <v>34380.89</v>
      </c>
      <c r="G578" t="s">
        <v>28</v>
      </c>
      <c r="H578" t="s">
        <v>16</v>
      </c>
      <c r="I578" t="s">
        <v>17</v>
      </c>
      <c r="J578" t="s">
        <v>1090</v>
      </c>
      <c r="K578" t="s">
        <v>18</v>
      </c>
    </row>
    <row r="579" spans="1:11" x14ac:dyDescent="0.25">
      <c r="A579" t="s">
        <v>1091</v>
      </c>
      <c r="B579" s="2">
        <v>45939</v>
      </c>
      <c r="C579" t="s">
        <v>20</v>
      </c>
      <c r="D579" t="s">
        <v>13</v>
      </c>
      <c r="E579" t="s">
        <v>14</v>
      </c>
      <c r="F579">
        <v>65136.42</v>
      </c>
      <c r="G579" t="s">
        <v>28</v>
      </c>
      <c r="H579" t="s">
        <v>16</v>
      </c>
      <c r="I579" t="s">
        <v>17</v>
      </c>
      <c r="J579" t="s">
        <v>1092</v>
      </c>
      <c r="K579" t="s">
        <v>18</v>
      </c>
    </row>
    <row r="580" spans="1:11" x14ac:dyDescent="0.25">
      <c r="A580" t="s">
        <v>1093</v>
      </c>
      <c r="B580" s="2">
        <v>45243</v>
      </c>
      <c r="C580" t="s">
        <v>20</v>
      </c>
      <c r="D580" t="s">
        <v>37</v>
      </c>
      <c r="E580" t="s">
        <v>27</v>
      </c>
      <c r="F580">
        <v>17718.759999999998</v>
      </c>
      <c r="G580" t="s">
        <v>15</v>
      </c>
      <c r="H580" t="s">
        <v>16</v>
      </c>
      <c r="I580" t="s">
        <v>17</v>
      </c>
      <c r="K580" t="s">
        <v>18</v>
      </c>
    </row>
    <row r="581" spans="1:11" x14ac:dyDescent="0.25">
      <c r="A581" t="s">
        <v>40</v>
      </c>
      <c r="B581" s="2">
        <v>45098</v>
      </c>
      <c r="C581" t="s">
        <v>73</v>
      </c>
      <c r="D581" t="s">
        <v>13</v>
      </c>
      <c r="E581" t="s">
        <v>27</v>
      </c>
      <c r="F581">
        <v>57694.96</v>
      </c>
      <c r="G581" t="s">
        <v>15</v>
      </c>
      <c r="H581" t="s">
        <v>34</v>
      </c>
      <c r="I581" t="s">
        <v>17</v>
      </c>
      <c r="J581" t="s">
        <v>1094</v>
      </c>
      <c r="K581" t="s">
        <v>18</v>
      </c>
    </row>
    <row r="582" spans="1:11" x14ac:dyDescent="0.25">
      <c r="A582" t="s">
        <v>1095</v>
      </c>
      <c r="B582" s="2">
        <v>45260</v>
      </c>
      <c r="C582" t="s">
        <v>20</v>
      </c>
      <c r="D582" t="s">
        <v>13</v>
      </c>
      <c r="E582" t="s">
        <v>53</v>
      </c>
      <c r="F582">
        <v>125241.61</v>
      </c>
      <c r="G582" t="s">
        <v>28</v>
      </c>
      <c r="H582" t="s">
        <v>16</v>
      </c>
      <c r="I582" t="s">
        <v>17</v>
      </c>
      <c r="J582" t="s">
        <v>1096</v>
      </c>
      <c r="K582" t="s">
        <v>18</v>
      </c>
    </row>
    <row r="583" spans="1:11" x14ac:dyDescent="0.25">
      <c r="A583" t="s">
        <v>1097</v>
      </c>
      <c r="B583" s="2">
        <v>45721</v>
      </c>
      <c r="C583" t="s">
        <v>12</v>
      </c>
      <c r="D583" t="s">
        <v>37</v>
      </c>
      <c r="E583" t="s">
        <v>27</v>
      </c>
      <c r="F583">
        <v>222075.1</v>
      </c>
      <c r="G583" t="s">
        <v>15</v>
      </c>
      <c r="H583" t="s">
        <v>16</v>
      </c>
      <c r="I583" t="s">
        <v>17</v>
      </c>
      <c r="K583" t="s">
        <v>30</v>
      </c>
    </row>
    <row r="584" spans="1:11" x14ac:dyDescent="0.25">
      <c r="A584" t="s">
        <v>1098</v>
      </c>
      <c r="B584" s="2">
        <v>45105</v>
      </c>
      <c r="C584" t="s">
        <v>20</v>
      </c>
      <c r="D584" t="s">
        <v>26</v>
      </c>
      <c r="E584" t="s">
        <v>41</v>
      </c>
      <c r="F584">
        <v>57070</v>
      </c>
      <c r="G584" t="s">
        <v>28</v>
      </c>
      <c r="H584" t="s">
        <v>16</v>
      </c>
      <c r="I584" t="s">
        <v>17</v>
      </c>
      <c r="J584" t="s">
        <v>1099</v>
      </c>
      <c r="K584" t="s">
        <v>30</v>
      </c>
    </row>
    <row r="585" spans="1:11" x14ac:dyDescent="0.25">
      <c r="A585" t="s">
        <v>1100</v>
      </c>
      <c r="B585" s="2">
        <v>45612</v>
      </c>
      <c r="C585" t="s">
        <v>25</v>
      </c>
      <c r="D585" t="s">
        <v>60</v>
      </c>
      <c r="E585" t="s">
        <v>22</v>
      </c>
      <c r="F585">
        <v>147428.18</v>
      </c>
      <c r="G585" t="s">
        <v>28</v>
      </c>
      <c r="H585" t="s">
        <v>16</v>
      </c>
      <c r="I585" t="s">
        <v>17</v>
      </c>
      <c r="J585" t="s">
        <v>1101</v>
      </c>
      <c r="K585" t="s">
        <v>18</v>
      </c>
    </row>
    <row r="586" spans="1:11" x14ac:dyDescent="0.25">
      <c r="A586" t="s">
        <v>1102</v>
      </c>
      <c r="B586" s="2">
        <v>45291</v>
      </c>
      <c r="C586" t="s">
        <v>25</v>
      </c>
      <c r="D586" t="s">
        <v>64</v>
      </c>
      <c r="E586" t="s">
        <v>44</v>
      </c>
      <c r="F586">
        <v>287157.21999999997</v>
      </c>
      <c r="G586" t="s">
        <v>15</v>
      </c>
      <c r="H586" t="s">
        <v>16</v>
      </c>
      <c r="I586" t="s">
        <v>17</v>
      </c>
      <c r="J586" t="s">
        <v>1103</v>
      </c>
      <c r="K586" t="s">
        <v>18</v>
      </c>
    </row>
    <row r="587" spans="1:11" x14ac:dyDescent="0.25">
      <c r="A587" t="s">
        <v>1104</v>
      </c>
      <c r="B587" s="2">
        <v>45163</v>
      </c>
      <c r="C587" t="s">
        <v>25</v>
      </c>
      <c r="D587" t="s">
        <v>26</v>
      </c>
      <c r="E587" t="s">
        <v>44</v>
      </c>
      <c r="F587">
        <v>24783.41</v>
      </c>
      <c r="G587" t="s">
        <v>38</v>
      </c>
      <c r="H587" t="s">
        <v>16</v>
      </c>
      <c r="I587" t="s">
        <v>17</v>
      </c>
      <c r="J587" t="s">
        <v>1105</v>
      </c>
      <c r="K587" t="s">
        <v>30</v>
      </c>
    </row>
    <row r="588" spans="1:11" x14ac:dyDescent="0.25">
      <c r="A588" t="s">
        <v>1106</v>
      </c>
      <c r="B588" s="2">
        <v>45706</v>
      </c>
      <c r="C588" t="s">
        <v>20</v>
      </c>
      <c r="D588" t="s">
        <v>64</v>
      </c>
      <c r="E588" t="s">
        <v>41</v>
      </c>
      <c r="F588">
        <v>291908.2</v>
      </c>
      <c r="G588" t="s">
        <v>15</v>
      </c>
      <c r="H588" t="s">
        <v>16</v>
      </c>
      <c r="I588" t="s">
        <v>17</v>
      </c>
      <c r="J588" t="s">
        <v>1107</v>
      </c>
      <c r="K588" t="s">
        <v>18</v>
      </c>
    </row>
    <row r="589" spans="1:11" x14ac:dyDescent="0.25">
      <c r="A589" t="s">
        <v>1108</v>
      </c>
      <c r="B589" s="2">
        <v>45211</v>
      </c>
      <c r="C589" t="s">
        <v>20</v>
      </c>
      <c r="D589" t="s">
        <v>37</v>
      </c>
      <c r="E589" t="s">
        <v>27</v>
      </c>
      <c r="F589">
        <v>95728.68</v>
      </c>
      <c r="G589" t="s">
        <v>38</v>
      </c>
      <c r="H589" t="s">
        <v>16</v>
      </c>
      <c r="I589" t="s">
        <v>17</v>
      </c>
      <c r="J589" t="s">
        <v>1109</v>
      </c>
      <c r="K589" t="s">
        <v>30</v>
      </c>
    </row>
    <row r="590" spans="1:11" x14ac:dyDescent="0.25">
      <c r="A590" t="s">
        <v>1110</v>
      </c>
      <c r="B590" s="2">
        <v>45163</v>
      </c>
      <c r="C590" t="s">
        <v>20</v>
      </c>
      <c r="D590" t="s">
        <v>64</v>
      </c>
      <c r="E590" t="s">
        <v>27</v>
      </c>
      <c r="F590">
        <v>21863.87</v>
      </c>
      <c r="G590" t="s">
        <v>38</v>
      </c>
      <c r="H590" t="s">
        <v>16</v>
      </c>
      <c r="I590" t="s">
        <v>17</v>
      </c>
      <c r="J590" t="s">
        <v>1111</v>
      </c>
      <c r="K590" t="s">
        <v>18</v>
      </c>
    </row>
    <row r="591" spans="1:11" x14ac:dyDescent="0.25">
      <c r="A591" t="s">
        <v>40</v>
      </c>
      <c r="B591" s="2">
        <v>45935</v>
      </c>
      <c r="C591" t="s">
        <v>59</v>
      </c>
      <c r="D591" t="s">
        <v>46</v>
      </c>
      <c r="E591" t="s">
        <v>156</v>
      </c>
      <c r="F591">
        <v>237014.68</v>
      </c>
      <c r="G591" t="s">
        <v>28</v>
      </c>
      <c r="H591" t="s">
        <v>16</v>
      </c>
      <c r="I591" t="s">
        <v>17</v>
      </c>
      <c r="J591" t="s">
        <v>1112</v>
      </c>
      <c r="K591" t="s">
        <v>18</v>
      </c>
    </row>
    <row r="592" spans="1:11" x14ac:dyDescent="0.25">
      <c r="A592" t="s">
        <v>1113</v>
      </c>
      <c r="B592" s="2">
        <v>45488</v>
      </c>
      <c r="C592" t="s">
        <v>73</v>
      </c>
      <c r="D592" t="s">
        <v>26</v>
      </c>
      <c r="E592" t="s">
        <v>41</v>
      </c>
      <c r="F592">
        <v>233045.13</v>
      </c>
      <c r="G592" t="s">
        <v>15</v>
      </c>
      <c r="H592" t="s">
        <v>16</v>
      </c>
      <c r="I592" t="s">
        <v>17</v>
      </c>
      <c r="J592" t="s">
        <v>808</v>
      </c>
      <c r="K592" t="s">
        <v>30</v>
      </c>
    </row>
    <row r="593" spans="1:11" x14ac:dyDescent="0.25">
      <c r="A593" t="s">
        <v>1114</v>
      </c>
      <c r="B593" s="2">
        <v>45339</v>
      </c>
      <c r="C593" t="s">
        <v>12</v>
      </c>
      <c r="D593" t="s">
        <v>46</v>
      </c>
      <c r="E593" t="s">
        <v>22</v>
      </c>
      <c r="F593">
        <v>190104.12</v>
      </c>
      <c r="G593" t="s">
        <v>28</v>
      </c>
      <c r="H593" t="s">
        <v>16</v>
      </c>
      <c r="I593" t="s">
        <v>17</v>
      </c>
      <c r="K593" t="s">
        <v>18</v>
      </c>
    </row>
    <row r="594" spans="1:11" x14ac:dyDescent="0.25">
      <c r="A594" t="s">
        <v>1115</v>
      </c>
      <c r="B594" s="2">
        <v>45319</v>
      </c>
      <c r="C594" t="s">
        <v>20</v>
      </c>
      <c r="D594" t="s">
        <v>26</v>
      </c>
      <c r="E594" t="s">
        <v>41</v>
      </c>
      <c r="F594">
        <v>85879</v>
      </c>
      <c r="G594" t="s">
        <v>15</v>
      </c>
      <c r="H594" t="s">
        <v>16</v>
      </c>
      <c r="I594" t="s">
        <v>17</v>
      </c>
      <c r="J594" t="s">
        <v>1116</v>
      </c>
      <c r="K594" t="s">
        <v>30</v>
      </c>
    </row>
    <row r="595" spans="1:11" x14ac:dyDescent="0.25">
      <c r="A595" t="s">
        <v>1117</v>
      </c>
      <c r="B595" s="2">
        <v>45757</v>
      </c>
      <c r="C595" t="s">
        <v>25</v>
      </c>
      <c r="D595" t="s">
        <v>60</v>
      </c>
      <c r="E595" t="s">
        <v>44</v>
      </c>
      <c r="F595">
        <v>205452.93</v>
      </c>
      <c r="G595" t="s">
        <v>38</v>
      </c>
      <c r="H595" t="s">
        <v>16</v>
      </c>
      <c r="I595" t="s">
        <v>17</v>
      </c>
      <c r="K595" t="s">
        <v>18</v>
      </c>
    </row>
    <row r="596" spans="1:11" x14ac:dyDescent="0.25">
      <c r="A596" t="s">
        <v>1118</v>
      </c>
      <c r="B596" s="2">
        <v>46004</v>
      </c>
      <c r="C596" t="s">
        <v>25</v>
      </c>
      <c r="D596" t="s">
        <v>13</v>
      </c>
      <c r="E596" t="s">
        <v>14</v>
      </c>
      <c r="F596">
        <v>11342.06</v>
      </c>
      <c r="G596" t="s">
        <v>28</v>
      </c>
      <c r="H596" t="s">
        <v>16</v>
      </c>
      <c r="I596" t="s">
        <v>17</v>
      </c>
      <c r="J596" t="s">
        <v>1119</v>
      </c>
      <c r="K596" t="s">
        <v>18</v>
      </c>
    </row>
    <row r="597" spans="1:11" x14ac:dyDescent="0.25">
      <c r="A597" t="s">
        <v>1120</v>
      </c>
      <c r="B597" s="2">
        <v>45010</v>
      </c>
      <c r="C597" t="s">
        <v>12</v>
      </c>
      <c r="D597" t="s">
        <v>64</v>
      </c>
      <c r="E597" t="s">
        <v>22</v>
      </c>
      <c r="F597">
        <v>106904.06</v>
      </c>
      <c r="G597" t="s">
        <v>28</v>
      </c>
      <c r="H597" t="s">
        <v>16</v>
      </c>
      <c r="I597" t="s">
        <v>17</v>
      </c>
      <c r="J597" t="s">
        <v>1121</v>
      </c>
      <c r="K597" t="s">
        <v>30</v>
      </c>
    </row>
    <row r="598" spans="1:11" x14ac:dyDescent="0.25">
      <c r="A598" t="s">
        <v>1122</v>
      </c>
      <c r="B598" s="2">
        <v>45434</v>
      </c>
      <c r="C598" t="s">
        <v>20</v>
      </c>
      <c r="D598" t="s">
        <v>46</v>
      </c>
      <c r="E598" t="s">
        <v>156</v>
      </c>
      <c r="F598">
        <v>112929.93</v>
      </c>
      <c r="G598" t="s">
        <v>15</v>
      </c>
      <c r="H598" t="s">
        <v>16</v>
      </c>
      <c r="I598" t="s">
        <v>17</v>
      </c>
      <c r="J598" t="s">
        <v>1123</v>
      </c>
      <c r="K598" t="s">
        <v>18</v>
      </c>
    </row>
    <row r="599" spans="1:11" x14ac:dyDescent="0.25">
      <c r="A599" t="s">
        <v>1124</v>
      </c>
      <c r="B599" s="2">
        <v>45001</v>
      </c>
      <c r="C599" t="s">
        <v>73</v>
      </c>
      <c r="D599" t="s">
        <v>13</v>
      </c>
      <c r="E599" t="s">
        <v>44</v>
      </c>
      <c r="F599">
        <v>143911.63</v>
      </c>
      <c r="G599" t="s">
        <v>15</v>
      </c>
      <c r="H599" t="s">
        <v>16</v>
      </c>
      <c r="I599" t="s">
        <v>17</v>
      </c>
      <c r="J599" t="s">
        <v>1125</v>
      </c>
      <c r="K599" t="s">
        <v>18</v>
      </c>
    </row>
    <row r="600" spans="1:11" x14ac:dyDescent="0.25">
      <c r="A600" t="s">
        <v>1126</v>
      </c>
      <c r="B600" s="2">
        <v>45843</v>
      </c>
      <c r="C600" t="s">
        <v>20</v>
      </c>
      <c r="D600" t="s">
        <v>60</v>
      </c>
      <c r="E600" t="s">
        <v>14</v>
      </c>
      <c r="F600">
        <v>226198.13</v>
      </c>
      <c r="G600" t="s">
        <v>38</v>
      </c>
      <c r="H600" t="s">
        <v>16</v>
      </c>
      <c r="I600" t="s">
        <v>17</v>
      </c>
      <c r="K600" t="s">
        <v>18</v>
      </c>
    </row>
    <row r="601" spans="1:11" x14ac:dyDescent="0.25">
      <c r="A601" t="s">
        <v>1127</v>
      </c>
      <c r="B601" s="2">
        <v>45095</v>
      </c>
      <c r="C601" t="s">
        <v>20</v>
      </c>
      <c r="D601" t="s">
        <v>37</v>
      </c>
      <c r="E601" t="s">
        <v>44</v>
      </c>
      <c r="F601">
        <v>250787.62</v>
      </c>
      <c r="G601" t="s">
        <v>38</v>
      </c>
      <c r="H601" t="s">
        <v>16</v>
      </c>
      <c r="I601" t="s">
        <v>17</v>
      </c>
      <c r="J601" t="s">
        <v>1128</v>
      </c>
      <c r="K601" t="s">
        <v>30</v>
      </c>
    </row>
    <row r="602" spans="1:11" x14ac:dyDescent="0.25">
      <c r="A602" t="s">
        <v>1129</v>
      </c>
      <c r="B602" s="2">
        <v>45240</v>
      </c>
      <c r="C602" t="s">
        <v>59</v>
      </c>
      <c r="D602" t="s">
        <v>13</v>
      </c>
      <c r="E602" t="s">
        <v>41</v>
      </c>
      <c r="F602">
        <v>42520.5</v>
      </c>
      <c r="G602" t="s">
        <v>15</v>
      </c>
      <c r="H602" t="s">
        <v>16</v>
      </c>
      <c r="I602" t="s">
        <v>17</v>
      </c>
      <c r="J602" t="s">
        <v>1130</v>
      </c>
      <c r="K602" t="s">
        <v>30</v>
      </c>
    </row>
    <row r="603" spans="1:11" x14ac:dyDescent="0.25">
      <c r="A603" t="s">
        <v>1131</v>
      </c>
      <c r="B603" s="2">
        <v>45883</v>
      </c>
      <c r="C603" t="s">
        <v>20</v>
      </c>
      <c r="D603" t="s">
        <v>13</v>
      </c>
      <c r="E603" t="s">
        <v>27</v>
      </c>
      <c r="F603">
        <v>16150.95</v>
      </c>
      <c r="G603" t="s">
        <v>15</v>
      </c>
      <c r="H603" t="s">
        <v>16</v>
      </c>
      <c r="I603" t="s">
        <v>17</v>
      </c>
      <c r="K603" t="s">
        <v>18</v>
      </c>
    </row>
    <row r="604" spans="1:11" x14ac:dyDescent="0.25">
      <c r="A604" t="s">
        <v>1132</v>
      </c>
      <c r="B604" s="2">
        <v>45919</v>
      </c>
      <c r="C604" t="s">
        <v>20</v>
      </c>
      <c r="D604" t="s">
        <v>26</v>
      </c>
      <c r="E604" t="s">
        <v>22</v>
      </c>
      <c r="F604">
        <v>165842.99</v>
      </c>
      <c r="G604" t="s">
        <v>38</v>
      </c>
      <c r="H604" t="s">
        <v>16</v>
      </c>
      <c r="I604" t="s">
        <v>17</v>
      </c>
      <c r="J604" t="s">
        <v>903</v>
      </c>
      <c r="K604" t="s">
        <v>18</v>
      </c>
    </row>
    <row r="605" spans="1:11" x14ac:dyDescent="0.25">
      <c r="A605" t="s">
        <v>1133</v>
      </c>
      <c r="B605" s="2">
        <v>45899</v>
      </c>
      <c r="C605" t="s">
        <v>12</v>
      </c>
      <c r="D605" t="s">
        <v>21</v>
      </c>
      <c r="E605" t="s">
        <v>22</v>
      </c>
      <c r="F605">
        <v>205179.03</v>
      </c>
      <c r="G605" t="s">
        <v>28</v>
      </c>
      <c r="H605" t="s">
        <v>16</v>
      </c>
      <c r="I605" t="s">
        <v>17</v>
      </c>
      <c r="J605" t="s">
        <v>1134</v>
      </c>
      <c r="K605" t="s">
        <v>30</v>
      </c>
    </row>
    <row r="606" spans="1:11" x14ac:dyDescent="0.25">
      <c r="A606" t="s">
        <v>1135</v>
      </c>
      <c r="B606" s="2">
        <v>45319</v>
      </c>
      <c r="C606" t="s">
        <v>73</v>
      </c>
      <c r="D606" t="s">
        <v>26</v>
      </c>
      <c r="E606" t="s">
        <v>41</v>
      </c>
      <c r="G606" t="s">
        <v>38</v>
      </c>
      <c r="H606" t="s">
        <v>16</v>
      </c>
      <c r="I606" t="s">
        <v>17</v>
      </c>
      <c r="J606" t="s">
        <v>1136</v>
      </c>
      <c r="K606" t="s">
        <v>18</v>
      </c>
    </row>
    <row r="607" spans="1:11" x14ac:dyDescent="0.25">
      <c r="A607" t="s">
        <v>1137</v>
      </c>
      <c r="B607" s="2">
        <v>45463</v>
      </c>
      <c r="C607" t="s">
        <v>73</v>
      </c>
      <c r="D607" t="s">
        <v>26</v>
      </c>
      <c r="E607" t="s">
        <v>27</v>
      </c>
      <c r="F607">
        <v>127943.61</v>
      </c>
      <c r="G607" t="s">
        <v>28</v>
      </c>
      <c r="H607" t="s">
        <v>16</v>
      </c>
      <c r="I607" t="s">
        <v>17</v>
      </c>
      <c r="J607" t="s">
        <v>952</v>
      </c>
      <c r="K607" t="s">
        <v>30</v>
      </c>
    </row>
    <row r="608" spans="1:11" x14ac:dyDescent="0.25">
      <c r="A608" t="s">
        <v>1138</v>
      </c>
      <c r="B608" s="2">
        <v>45433</v>
      </c>
      <c r="C608" t="s">
        <v>12</v>
      </c>
      <c r="D608" t="s">
        <v>21</v>
      </c>
      <c r="E608" t="s">
        <v>44</v>
      </c>
      <c r="F608">
        <v>96459.96</v>
      </c>
      <c r="G608" t="s">
        <v>15</v>
      </c>
      <c r="H608" t="s">
        <v>34</v>
      </c>
      <c r="I608" t="s">
        <v>17</v>
      </c>
      <c r="J608" t="s">
        <v>1139</v>
      </c>
      <c r="K608" t="s">
        <v>18</v>
      </c>
    </row>
    <row r="609" spans="1:11" x14ac:dyDescent="0.25">
      <c r="A609" t="s">
        <v>1140</v>
      </c>
      <c r="B609" s="2">
        <v>45895</v>
      </c>
      <c r="C609" t="s">
        <v>12</v>
      </c>
      <c r="D609" t="s">
        <v>60</v>
      </c>
      <c r="E609" t="s">
        <v>14</v>
      </c>
      <c r="F609">
        <v>100374.2</v>
      </c>
      <c r="G609" t="s">
        <v>38</v>
      </c>
      <c r="H609" t="s">
        <v>34</v>
      </c>
      <c r="I609" t="s">
        <v>17</v>
      </c>
      <c r="J609" t="s">
        <v>1141</v>
      </c>
      <c r="K609" t="s">
        <v>18</v>
      </c>
    </row>
    <row r="610" spans="1:11" x14ac:dyDescent="0.25">
      <c r="A610" t="s">
        <v>1142</v>
      </c>
      <c r="B610" s="2">
        <v>45066</v>
      </c>
      <c r="C610" t="s">
        <v>12</v>
      </c>
      <c r="D610" t="s">
        <v>60</v>
      </c>
      <c r="E610" t="s">
        <v>14</v>
      </c>
      <c r="F610">
        <v>140412.54999999999</v>
      </c>
      <c r="G610" t="s">
        <v>28</v>
      </c>
      <c r="H610" t="s">
        <v>16</v>
      </c>
      <c r="I610" t="s">
        <v>17</v>
      </c>
      <c r="J610" t="s">
        <v>1143</v>
      </c>
      <c r="K610" t="s">
        <v>18</v>
      </c>
    </row>
    <row r="611" spans="1:11" x14ac:dyDescent="0.25">
      <c r="A611" t="s">
        <v>1144</v>
      </c>
      <c r="B611" s="2">
        <v>45517</v>
      </c>
      <c r="C611" t="s">
        <v>25</v>
      </c>
      <c r="D611" t="s">
        <v>64</v>
      </c>
      <c r="E611" t="s">
        <v>27</v>
      </c>
      <c r="F611">
        <v>124103.72</v>
      </c>
      <c r="G611" t="s">
        <v>38</v>
      </c>
      <c r="H611" t="s">
        <v>16</v>
      </c>
      <c r="I611" t="s">
        <v>17</v>
      </c>
      <c r="K611" t="s">
        <v>18</v>
      </c>
    </row>
    <row r="612" spans="1:11" x14ac:dyDescent="0.25">
      <c r="A612" t="s">
        <v>1145</v>
      </c>
      <c r="B612" s="2">
        <v>45015</v>
      </c>
      <c r="C612" t="s">
        <v>12</v>
      </c>
      <c r="D612" t="s">
        <v>60</v>
      </c>
      <c r="E612" t="s">
        <v>14</v>
      </c>
      <c r="F612">
        <v>111999.96</v>
      </c>
      <c r="G612" t="s">
        <v>15</v>
      </c>
      <c r="H612" t="s">
        <v>16</v>
      </c>
      <c r="I612" t="s">
        <v>17</v>
      </c>
      <c r="J612" t="s">
        <v>1146</v>
      </c>
      <c r="K612" t="s">
        <v>18</v>
      </c>
    </row>
    <row r="613" spans="1:11" x14ac:dyDescent="0.25">
      <c r="A613" t="s">
        <v>1147</v>
      </c>
      <c r="B613" s="2">
        <v>45297</v>
      </c>
      <c r="C613" t="s">
        <v>12</v>
      </c>
      <c r="D613" t="s">
        <v>37</v>
      </c>
      <c r="E613" t="s">
        <v>41</v>
      </c>
      <c r="F613">
        <v>225027.46</v>
      </c>
      <c r="G613" t="s">
        <v>38</v>
      </c>
      <c r="H613" t="s">
        <v>16</v>
      </c>
      <c r="I613" t="s">
        <v>17</v>
      </c>
      <c r="J613" t="s">
        <v>1148</v>
      </c>
      <c r="K613" t="s">
        <v>18</v>
      </c>
    </row>
    <row r="614" spans="1:11" x14ac:dyDescent="0.25">
      <c r="A614" t="s">
        <v>1149</v>
      </c>
      <c r="B614" s="2">
        <v>45492</v>
      </c>
      <c r="C614" t="s">
        <v>12</v>
      </c>
      <c r="D614" t="s">
        <v>60</v>
      </c>
      <c r="E614" t="s">
        <v>41</v>
      </c>
      <c r="F614">
        <v>230032.45</v>
      </c>
      <c r="G614" t="s">
        <v>28</v>
      </c>
      <c r="H614" t="s">
        <v>16</v>
      </c>
      <c r="I614" t="s">
        <v>17</v>
      </c>
      <c r="J614" t="s">
        <v>1150</v>
      </c>
      <c r="K61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10" sqref="B10"/>
    </sheetView>
  </sheetViews>
  <sheetFormatPr defaultRowHeight="15" x14ac:dyDescent="0.25"/>
  <sheetData>
    <row r="1" spans="1:3" x14ac:dyDescent="0.25">
      <c r="A1" s="1" t="s">
        <v>1151</v>
      </c>
      <c r="B1" s="1" t="s">
        <v>1152</v>
      </c>
      <c r="C1" s="1" t="s">
        <v>1153</v>
      </c>
    </row>
    <row r="2" spans="1:3" x14ac:dyDescent="0.25">
      <c r="A2">
        <v>2023</v>
      </c>
      <c r="B2" t="s">
        <v>20</v>
      </c>
      <c r="C2">
        <v>6500000</v>
      </c>
    </row>
    <row r="3" spans="1:3" x14ac:dyDescent="0.25">
      <c r="A3">
        <v>2023</v>
      </c>
      <c r="B3" t="s">
        <v>25</v>
      </c>
      <c r="C3">
        <v>5200000</v>
      </c>
    </row>
    <row r="4" spans="1:3" x14ac:dyDescent="0.25">
      <c r="A4">
        <v>2023</v>
      </c>
      <c r="B4" t="s">
        <v>73</v>
      </c>
      <c r="C4">
        <v>4100000</v>
      </c>
    </row>
    <row r="5" spans="1:3" x14ac:dyDescent="0.25">
      <c r="A5">
        <v>2023</v>
      </c>
      <c r="B5" t="s">
        <v>12</v>
      </c>
      <c r="C5">
        <v>5800000</v>
      </c>
    </row>
    <row r="6" spans="1:3" x14ac:dyDescent="0.25">
      <c r="A6">
        <v>2024</v>
      </c>
      <c r="B6" t="s">
        <v>20</v>
      </c>
      <c r="C6">
        <v>6890000</v>
      </c>
    </row>
    <row r="7" spans="1:3" x14ac:dyDescent="0.25">
      <c r="A7">
        <v>2024</v>
      </c>
      <c r="B7" t="s">
        <v>25</v>
      </c>
      <c r="C7">
        <v>5510000</v>
      </c>
    </row>
    <row r="8" spans="1:3" x14ac:dyDescent="0.25">
      <c r="A8">
        <v>2024</v>
      </c>
      <c r="B8" t="s">
        <v>73</v>
      </c>
      <c r="C8">
        <v>4340000</v>
      </c>
    </row>
    <row r="9" spans="1:3" x14ac:dyDescent="0.25">
      <c r="A9">
        <v>2024</v>
      </c>
      <c r="B9" t="s">
        <v>12</v>
      </c>
      <c r="C9">
        <v>6140000</v>
      </c>
    </row>
    <row r="10" spans="1:3" x14ac:dyDescent="0.25">
      <c r="A10">
        <v>2025</v>
      </c>
      <c r="B10" t="s">
        <v>20</v>
      </c>
      <c r="C10">
        <v>7300000</v>
      </c>
    </row>
    <row r="11" spans="1:3" x14ac:dyDescent="0.25">
      <c r="A11">
        <v>2025</v>
      </c>
      <c r="B11" t="s">
        <v>25</v>
      </c>
      <c r="C11">
        <v>5840000</v>
      </c>
    </row>
    <row r="12" spans="1:3" x14ac:dyDescent="0.25">
      <c r="A12">
        <v>2025</v>
      </c>
      <c r="B12" t="s">
        <v>73</v>
      </c>
      <c r="C12">
        <v>4600000</v>
      </c>
    </row>
    <row r="13" spans="1:3" x14ac:dyDescent="0.25">
      <c r="A13">
        <v>2025</v>
      </c>
      <c r="B13" t="s">
        <v>12</v>
      </c>
      <c r="C13">
        <v>6500000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4F23-A845-45D7-A1C5-204FB4B661BD}">
  <dimension ref="A1:Q21"/>
  <sheetViews>
    <sheetView tabSelected="1" zoomScale="115" zoomScaleNormal="115" workbookViewId="0">
      <selection activeCell="D21" sqref="D21"/>
    </sheetView>
  </sheetViews>
  <sheetFormatPr defaultRowHeight="15" x14ac:dyDescent="0.25"/>
  <cols>
    <col min="1" max="1" width="20.85546875" bestFit="1" customWidth="1"/>
    <col min="2" max="2" width="21.85546875" bestFit="1" customWidth="1"/>
    <col min="3" max="3" width="21.85546875" hidden="1" customWidth="1"/>
    <col min="4" max="4" width="16.5703125" customWidth="1"/>
    <col min="5" max="5" width="17.42578125" customWidth="1"/>
    <col min="6" max="6" width="1.140625" customWidth="1"/>
    <col min="7" max="7" width="15.7109375" bestFit="1" customWidth="1"/>
    <col min="8" max="8" width="17.42578125" customWidth="1"/>
    <col min="9" max="9" width="12" bestFit="1" customWidth="1"/>
    <col min="10" max="11" width="10.7109375" bestFit="1" customWidth="1"/>
    <col min="12" max="12" width="15" bestFit="1" customWidth="1"/>
    <col min="13" max="13" width="16.85546875" bestFit="1" customWidth="1"/>
    <col min="14" max="14" width="14.5703125" bestFit="1" customWidth="1"/>
    <col min="15" max="15" width="10.7109375" bestFit="1" customWidth="1"/>
    <col min="16" max="16" width="15" bestFit="1" customWidth="1"/>
    <col min="17" max="483" width="10.7109375" bestFit="1" customWidth="1"/>
    <col min="484" max="484" width="7.28515625" bestFit="1" customWidth="1"/>
    <col min="485" max="485" width="11.28515625" bestFit="1" customWidth="1"/>
  </cols>
  <sheetData>
    <row r="1" spans="1:17" x14ac:dyDescent="0.25">
      <c r="A1" s="3" t="s">
        <v>1159</v>
      </c>
      <c r="B1" t="s">
        <v>1160</v>
      </c>
    </row>
    <row r="2" spans="1:17" x14ac:dyDescent="0.25">
      <c r="A2" s="4" t="s">
        <v>1155</v>
      </c>
      <c r="B2" s="6"/>
      <c r="C2" s="6"/>
      <c r="D2" t="s">
        <v>1161</v>
      </c>
      <c r="E2" t="s">
        <v>1162</v>
      </c>
    </row>
    <row r="3" spans="1:17" x14ac:dyDescent="0.25">
      <c r="A3" s="4" t="s">
        <v>1156</v>
      </c>
      <c r="B3" s="7">
        <v>23139383.719999995</v>
      </c>
      <c r="C3" s="6"/>
      <c r="D3" s="13">
        <f>SUM(D4:D8)</f>
        <v>21600000</v>
      </c>
      <c r="I3" s="9" t="s">
        <v>1165</v>
      </c>
      <c r="K3" t="s">
        <v>1168</v>
      </c>
      <c r="L3" t="s">
        <v>1169</v>
      </c>
      <c r="M3" t="s">
        <v>1170</v>
      </c>
      <c r="N3" t="s">
        <v>1162</v>
      </c>
      <c r="O3" t="s">
        <v>1171</v>
      </c>
      <c r="P3" t="s">
        <v>1172</v>
      </c>
      <c r="Q3" t="s">
        <v>1162</v>
      </c>
    </row>
    <row r="4" spans="1:17" x14ac:dyDescent="0.25">
      <c r="A4" s="5" t="s">
        <v>12</v>
      </c>
      <c r="B4" s="7">
        <v>6190664.8199999984</v>
      </c>
      <c r="C4" s="6">
        <v>6190664.8199999984</v>
      </c>
      <c r="D4" s="7">
        <f>_xlfn.XLOOKUP(A4,Dim_Budgets!$B$2:$B$5,Dim_Budgets!$C$2:$C$5)</f>
        <v>5800000</v>
      </c>
      <c r="E4" s="7">
        <f>D4-C4</f>
        <v>-390664.81999999844</v>
      </c>
      <c r="G4" t="s">
        <v>1163</v>
      </c>
      <c r="H4" s="7">
        <f>SUM(E4:E20)</f>
        <v>-9344600.0699999947</v>
      </c>
      <c r="I4" s="8">
        <f>H4/D21</f>
        <v>-0.13598079263678689</v>
      </c>
      <c r="K4" t="s">
        <v>12</v>
      </c>
      <c r="L4" s="7">
        <f>SUMIFS($D$4:$D$20,$A$4:$A$20,K4)</f>
        <v>18440000</v>
      </c>
      <c r="M4" s="7">
        <f>SUMIFS($B$4:$B$20,$A$4:$A$20,K4)</f>
        <v>22656061.170000002</v>
      </c>
      <c r="N4" s="7">
        <f>L4-M4</f>
        <v>-4216061.1700000018</v>
      </c>
      <c r="O4" s="11">
        <f>N4/L4</f>
        <v>-0.22863672288503264</v>
      </c>
      <c r="P4" s="12">
        <f>SUMIFS($E$4:$E$20,$A$4:$A$20,K4,$E$4:$E$20,"&lt;0")</f>
        <v>-4216061.1700000009</v>
      </c>
      <c r="Q4" s="8">
        <f>P4/L4</f>
        <v>-0.22863672288503259</v>
      </c>
    </row>
    <row r="5" spans="1:17" x14ac:dyDescent="0.25">
      <c r="A5" s="5" t="s">
        <v>73</v>
      </c>
      <c r="B5" s="7">
        <v>2251691.5499999998</v>
      </c>
      <c r="C5" s="6">
        <v>2251691.5499999998</v>
      </c>
      <c r="D5" s="7">
        <f>_xlfn.XLOOKUP(A5,Dim_Budgets!$B$2:$B$5,Dim_Budgets!$C$2:$C$5)</f>
        <v>4100000</v>
      </c>
      <c r="E5" s="7">
        <f t="shared" ref="E5:E8" si="0">D5-C5</f>
        <v>1848308.4500000002</v>
      </c>
      <c r="G5" t="s">
        <v>1164</v>
      </c>
      <c r="H5" s="7">
        <f>SUMIF(E4:E20,"&lt;0")</f>
        <v>-13135834.709999999</v>
      </c>
      <c r="I5" s="8">
        <f>H5/D21</f>
        <v>-0.19115009764260768</v>
      </c>
      <c r="K5" t="s">
        <v>73</v>
      </c>
      <c r="L5" s="7">
        <f t="shared" ref="L5:L8" si="1">SUMIFS($D$4:$D$20,$A$4:$A$20,K5)</f>
        <v>13040000</v>
      </c>
      <c r="M5" s="7">
        <f t="shared" ref="M5:M8" si="2">SUMIFS($B$4:$B$20,$A$4:$A$20,K5)</f>
        <v>9550675.6500000004</v>
      </c>
      <c r="N5" s="7">
        <f t="shared" ref="N5:N8" si="3">L5-M5</f>
        <v>3489324.3499999996</v>
      </c>
      <c r="O5" s="11">
        <f t="shared" ref="O5:O7" si="4">N5/L5</f>
        <v>0.2675862231595092</v>
      </c>
      <c r="P5" s="12">
        <f t="shared" ref="P5:P8" si="5">SUMIFS($E$4:$E$20,$A$4:$A$20,K5,$E$4:$E$20,"&lt;0")</f>
        <v>0</v>
      </c>
      <c r="Q5" s="8">
        <f t="shared" ref="Q5:Q8" si="6">P5/L5</f>
        <v>0</v>
      </c>
    </row>
    <row r="6" spans="1:17" x14ac:dyDescent="0.25">
      <c r="A6" s="5" t="s">
        <v>20</v>
      </c>
      <c r="B6" s="7">
        <v>7988971.4400000013</v>
      </c>
      <c r="C6" s="6">
        <v>7988971.4400000013</v>
      </c>
      <c r="D6" s="7">
        <f>_xlfn.XLOOKUP(A6,Dim_Budgets!$B$2:$B$5,Dim_Budgets!$C$2:$C$5)</f>
        <v>6500000</v>
      </c>
      <c r="E6" s="7">
        <f t="shared" si="0"/>
        <v>-1488971.4400000013</v>
      </c>
      <c r="G6" t="s">
        <v>1166</v>
      </c>
      <c r="H6" s="7">
        <f>D21</f>
        <v>68720000</v>
      </c>
      <c r="K6" t="s">
        <v>20</v>
      </c>
      <c r="L6" s="7">
        <f t="shared" si="1"/>
        <v>20690000</v>
      </c>
      <c r="M6" s="7">
        <f t="shared" si="2"/>
        <v>21877061.149999999</v>
      </c>
      <c r="N6" s="7">
        <f t="shared" si="3"/>
        <v>-1187061.1499999985</v>
      </c>
      <c r="O6" s="11">
        <f t="shared" si="4"/>
        <v>-5.7373666022232893E-2</v>
      </c>
      <c r="P6" s="12">
        <f t="shared" si="5"/>
        <v>-1488971.4400000013</v>
      </c>
      <c r="Q6" s="8">
        <f t="shared" si="6"/>
        <v>-7.1965753504108332E-2</v>
      </c>
    </row>
    <row r="7" spans="1:17" x14ac:dyDescent="0.25">
      <c r="A7" s="5" t="s">
        <v>25</v>
      </c>
      <c r="B7" s="7">
        <v>5594418.5999999996</v>
      </c>
      <c r="C7" s="6">
        <v>5594418.5999999996</v>
      </c>
      <c r="D7" s="7">
        <f>_xlfn.XLOOKUP(A7,Dim_Budgets!$B$2:$B$5,Dim_Budgets!$C$2:$C$5)</f>
        <v>5200000</v>
      </c>
      <c r="E7" s="7">
        <f t="shared" si="0"/>
        <v>-394418.59999999963</v>
      </c>
      <c r="G7" t="s">
        <v>1167</v>
      </c>
      <c r="H7" s="7">
        <f>GETPIVOTDATA("RAW_AMOUNT",$A$1)</f>
        <v>78064600.069999993</v>
      </c>
      <c r="K7" t="s">
        <v>25</v>
      </c>
      <c r="L7" s="7">
        <f t="shared" si="1"/>
        <v>16550000</v>
      </c>
      <c r="M7" s="7">
        <f t="shared" si="2"/>
        <v>21019775.439999998</v>
      </c>
      <c r="N7" s="7">
        <f t="shared" si="3"/>
        <v>-4469775.4399999976</v>
      </c>
      <c r="O7" s="11">
        <f t="shared" si="4"/>
        <v>-0.27007706586102703</v>
      </c>
      <c r="P7" s="12">
        <f t="shared" si="5"/>
        <v>-4469775.4399999958</v>
      </c>
      <c r="Q7" s="8">
        <f t="shared" si="6"/>
        <v>-0.27007706586102692</v>
      </c>
    </row>
    <row r="8" spans="1:17" x14ac:dyDescent="0.25">
      <c r="A8" s="5" t="s">
        <v>59</v>
      </c>
      <c r="B8" s="7">
        <v>1113637.31</v>
      </c>
      <c r="C8" s="6">
        <v>1113637.31</v>
      </c>
      <c r="D8" s="7"/>
      <c r="E8" s="7">
        <f t="shared" si="0"/>
        <v>-1113637.31</v>
      </c>
      <c r="K8" t="s">
        <v>59</v>
      </c>
      <c r="L8" s="7">
        <f t="shared" si="1"/>
        <v>0</v>
      </c>
      <c r="M8" s="7">
        <f t="shared" si="2"/>
        <v>2961026.66</v>
      </c>
      <c r="N8" s="7">
        <f t="shared" si="3"/>
        <v>-2961026.66</v>
      </c>
      <c r="O8" s="10" t="e">
        <f>M8/L8</f>
        <v>#DIV/0!</v>
      </c>
      <c r="P8" s="12">
        <f t="shared" si="5"/>
        <v>-2961026.66</v>
      </c>
      <c r="Q8" s="8" t="e">
        <f t="shared" si="6"/>
        <v>#DIV/0!</v>
      </c>
    </row>
    <row r="9" spans="1:17" x14ac:dyDescent="0.25">
      <c r="A9" s="4" t="s">
        <v>1157</v>
      </c>
      <c r="B9" s="7">
        <v>28451016.569999997</v>
      </c>
      <c r="C9" s="6"/>
      <c r="D9" s="13">
        <f>SUM(D10:D14)</f>
        <v>22880000</v>
      </c>
      <c r="E9" s="7"/>
    </row>
    <row r="10" spans="1:17" x14ac:dyDescent="0.25">
      <c r="A10" s="5" t="s">
        <v>12</v>
      </c>
      <c r="B10" s="7">
        <v>8618590.6400000006</v>
      </c>
      <c r="C10" s="6">
        <v>8618590.6400000006</v>
      </c>
      <c r="D10" s="7">
        <f>_xlfn.XLOOKUP(A10,Dim_Budgets!$B$6:$B$9,Dim_Budgets!$C$6:$C$9)</f>
        <v>6140000</v>
      </c>
      <c r="E10" s="7">
        <f>D10-C10</f>
        <v>-2478590.6400000006</v>
      </c>
    </row>
    <row r="11" spans="1:17" x14ac:dyDescent="0.25">
      <c r="A11" s="5" t="s">
        <v>73</v>
      </c>
      <c r="B11" s="7">
        <v>3493418.25</v>
      </c>
      <c r="C11" s="6">
        <v>3493418.25</v>
      </c>
      <c r="D11" s="7">
        <f>_xlfn.XLOOKUP(A11,Dim_Budgets!$B$6:$B$9,Dim_Budgets!$C$6:$C$9)</f>
        <v>4340000</v>
      </c>
      <c r="E11" s="7">
        <f t="shared" ref="E11:E14" si="7">D11-C11</f>
        <v>846581.75</v>
      </c>
    </row>
    <row r="12" spans="1:17" x14ac:dyDescent="0.25">
      <c r="A12" s="5" t="s">
        <v>20</v>
      </c>
      <c r="B12" s="7">
        <v>6640728.1099999994</v>
      </c>
      <c r="C12" s="6">
        <v>6640728.1099999994</v>
      </c>
      <c r="D12" s="7">
        <f>_xlfn.XLOOKUP(A12,Dim_Budgets!$B$6:$B$9,Dim_Budgets!$C$6:$C$9)</f>
        <v>6890000</v>
      </c>
      <c r="E12" s="7">
        <f t="shared" si="7"/>
        <v>249271.8900000006</v>
      </c>
    </row>
    <row r="13" spans="1:17" x14ac:dyDescent="0.25">
      <c r="A13" s="5" t="s">
        <v>25</v>
      </c>
      <c r="B13" s="7">
        <v>9007624.4799999967</v>
      </c>
      <c r="C13" s="6">
        <v>9007624.4799999967</v>
      </c>
      <c r="D13" s="7">
        <f>_xlfn.XLOOKUP(A13,Dim_Budgets!$B$6:$B$9,Dim_Budgets!$C$6:$C$9)</f>
        <v>5510000</v>
      </c>
      <c r="E13" s="7">
        <f t="shared" si="7"/>
        <v>-3497624.4799999967</v>
      </c>
    </row>
    <row r="14" spans="1:17" x14ac:dyDescent="0.25">
      <c r="A14" s="5" t="s">
        <v>59</v>
      </c>
      <c r="B14" s="7">
        <v>690655.08999999985</v>
      </c>
      <c r="C14" s="6">
        <v>690655.08999999985</v>
      </c>
      <c r="D14" s="7"/>
      <c r="E14" s="7">
        <f t="shared" si="7"/>
        <v>-690655.08999999985</v>
      </c>
    </row>
    <row r="15" spans="1:17" x14ac:dyDescent="0.25">
      <c r="A15" s="4" t="s">
        <v>1158</v>
      </c>
      <c r="B15" s="7">
        <v>26474199.780000005</v>
      </c>
      <c r="C15" s="6"/>
      <c r="D15" s="13">
        <f>SUM(D16:D20)</f>
        <v>24240000</v>
      </c>
      <c r="E15" s="7"/>
      <c r="G15" s="14" t="s">
        <v>1161</v>
      </c>
      <c r="H15" s="14" t="s">
        <v>1173</v>
      </c>
    </row>
    <row r="16" spans="1:17" x14ac:dyDescent="0.25">
      <c r="A16" s="5" t="s">
        <v>12</v>
      </c>
      <c r="B16" s="7">
        <v>7846805.7100000018</v>
      </c>
      <c r="C16" s="6">
        <v>7846805.7100000018</v>
      </c>
      <c r="D16" s="7">
        <f>_xlfn.XLOOKUP(A16,Dim_Budgets!$B$10:$B$13,Dim_Budgets!$C$10:$C$13)</f>
        <v>6500000</v>
      </c>
      <c r="E16" s="7">
        <f>D16-C16</f>
        <v>-1346805.7100000018</v>
      </c>
      <c r="G16" s="15">
        <v>21600000</v>
      </c>
      <c r="H16" s="15">
        <v>23139383.719999995</v>
      </c>
    </row>
    <row r="17" spans="1:8" x14ac:dyDescent="0.25">
      <c r="A17" s="5" t="s">
        <v>73</v>
      </c>
      <c r="B17" s="7">
        <v>3805565.85</v>
      </c>
      <c r="C17" s="6">
        <v>3805565.85</v>
      </c>
      <c r="D17" s="7">
        <f>_xlfn.XLOOKUP(A17,Dim_Budgets!$B$10:$B$13,Dim_Budgets!$C$10:$C$13)</f>
        <v>4600000</v>
      </c>
      <c r="E17" s="7">
        <f t="shared" ref="E17:E20" si="8">D17-C17</f>
        <v>794434.14999999991</v>
      </c>
      <c r="G17" s="15">
        <v>22880000</v>
      </c>
      <c r="H17" s="15">
        <v>28451016.569999997</v>
      </c>
    </row>
    <row r="18" spans="1:8" x14ac:dyDescent="0.25">
      <c r="A18" s="5" t="s">
        <v>20</v>
      </c>
      <c r="B18" s="7">
        <v>7247361.5999999996</v>
      </c>
      <c r="C18" s="6">
        <v>7247361.5999999996</v>
      </c>
      <c r="D18" s="7">
        <f>_xlfn.XLOOKUP(A18,Dim_Budgets!$B$10:$B$13,Dim_Budgets!$C$10:$C$13)</f>
        <v>7300000</v>
      </c>
      <c r="E18" s="7">
        <f t="shared" si="8"/>
        <v>52638.400000000373</v>
      </c>
      <c r="G18" s="15">
        <v>24240000</v>
      </c>
      <c r="H18" s="15">
        <v>26474199.780000005</v>
      </c>
    </row>
    <row r="19" spans="1:8" x14ac:dyDescent="0.25">
      <c r="A19" s="5" t="s">
        <v>25</v>
      </c>
      <c r="B19" s="7">
        <v>6417732.3599999994</v>
      </c>
      <c r="C19" s="6">
        <v>6417732.3599999994</v>
      </c>
      <c r="D19" s="7">
        <f>_xlfn.XLOOKUP(A19,Dim_Budgets!$B$10:$B$13,Dim_Budgets!$C$10:$C$13)</f>
        <v>5840000</v>
      </c>
      <c r="E19" s="7">
        <f t="shared" si="8"/>
        <v>-577732.3599999994</v>
      </c>
    </row>
    <row r="20" spans="1:8" x14ac:dyDescent="0.25">
      <c r="A20" s="5" t="s">
        <v>59</v>
      </c>
      <c r="B20" s="7">
        <v>1156734.26</v>
      </c>
      <c r="C20" s="6">
        <v>1156734.26</v>
      </c>
      <c r="D20" s="7"/>
      <c r="E20" s="7">
        <f t="shared" si="8"/>
        <v>-1156734.26</v>
      </c>
    </row>
    <row r="21" spans="1:8" x14ac:dyDescent="0.25">
      <c r="A21" s="4" t="s">
        <v>1154</v>
      </c>
      <c r="B21" s="7">
        <v>78064600.069999993</v>
      </c>
      <c r="C21" s="7">
        <f>SUM(C4:C20)</f>
        <v>78064600.069999993</v>
      </c>
      <c r="D21" s="13">
        <f>SUM(D3,D9,D15)</f>
        <v>68720000</v>
      </c>
      <c r="E21" s="7">
        <f>D21-GETPIVOTDATA("RAW_AMOUNT",$A$1)</f>
        <v>-9344600.0699999928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ERP_Cleaned</vt:lpstr>
      <vt:lpstr>Dim_Budgets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2026-09-15T07:52:16Z</dcterms:created>
  <dcterms:modified xsi:type="dcterms:W3CDTF">2026-09-15T15:28:07Z</dcterms:modified>
</cp:coreProperties>
</file>